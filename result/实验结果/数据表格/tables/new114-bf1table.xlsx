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111study\Features\tables\"/>
    </mc:Choice>
  </mc:AlternateContent>
  <xr:revisionPtr revIDLastSave="0" documentId="13_ncr:1_{64173180-4023-4AD8-80A1-3E9E2CD55A75}" xr6:coauthVersionLast="47" xr6:coauthVersionMax="47" xr10:uidLastSave="{00000000-0000-0000-0000-000000000000}"/>
  <bookViews>
    <workbookView xWindow="7275" yWindow="3270" windowWidth="27030" windowHeight="1575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0" i="1" l="1"/>
  <c r="I30" i="1"/>
  <c r="H30" i="1"/>
  <c r="G30" i="1"/>
  <c r="F30" i="1"/>
  <c r="E30" i="1"/>
  <c r="D30" i="1"/>
  <c r="C30" i="1"/>
  <c r="C28" i="1"/>
  <c r="D28" i="1"/>
  <c r="E28" i="1"/>
  <c r="F28" i="1"/>
  <c r="G28" i="1"/>
  <c r="H28" i="1"/>
  <c r="B28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B29" i="1" s="1"/>
  <c r="I2" i="1"/>
  <c r="I28" i="1" l="1"/>
  <c r="I29" i="1" s="1"/>
  <c r="D29" i="1" l="1"/>
  <c r="E29" i="1"/>
  <c r="C29" i="1"/>
  <c r="F29" i="1"/>
  <c r="G29" i="1"/>
  <c r="H29" i="1"/>
</calcChain>
</file>

<file path=xl/sharedStrings.xml><?xml version="1.0" encoding="utf-8"?>
<sst xmlns="http://schemas.openxmlformats.org/spreadsheetml/2006/main" count="66" uniqueCount="40">
  <si>
    <t>EAMB</t>
  </si>
  <si>
    <t>IAMB</t>
  </si>
  <si>
    <t>Inter-IAMB</t>
  </si>
  <si>
    <t>LRH</t>
  </si>
  <si>
    <t>Fast-IAMB</t>
  </si>
  <si>
    <t>GSMB</t>
  </si>
  <si>
    <t>FBED</t>
  </si>
  <si>
    <t>Dermatology</t>
  </si>
  <si>
    <t>Waveform</t>
  </si>
  <si>
    <t>Wdbc</t>
  </si>
  <si>
    <t>Synthetic_control</t>
  </si>
  <si>
    <t>Authorship</t>
  </si>
  <si>
    <t>Factors</t>
  </si>
  <si>
    <t>Pixel</t>
  </si>
  <si>
    <t>Isolet</t>
  </si>
  <si>
    <t>WarpPIE10P</t>
  </si>
  <si>
    <t>Su</t>
  </si>
  <si>
    <t>Prostate_GE</t>
  </si>
  <si>
    <t>TOX_171</t>
  </si>
  <si>
    <t>Orlraws10P</t>
  </si>
  <si>
    <t>CLL_SUB_111</t>
  </si>
  <si>
    <t>Yeoh</t>
  </si>
  <si>
    <t>Musk1</t>
  </si>
  <si>
    <t>Sorlie</t>
  </si>
  <si>
    <t>WarpAR10P</t>
  </si>
  <si>
    <t>GLIOMA</t>
  </si>
  <si>
    <t>Arcene</t>
  </si>
  <si>
    <t>madelon</t>
  </si>
  <si>
    <t>SRBCT</t>
  </si>
  <si>
    <t>Colon</t>
  </si>
  <si>
    <t>spambase</t>
  </si>
  <si>
    <t>splice</t>
  </si>
  <si>
    <t>dna</t>
  </si>
  <si>
    <t>EAMB-sp</t>
    <phoneticPr fontId="2" type="noConversion"/>
  </si>
  <si>
    <t>b</t>
  </si>
  <si>
    <t>k</t>
  </si>
  <si>
    <t>s</t>
  </si>
  <si>
    <t>r</t>
  </si>
  <si>
    <t>Movement_libras</t>
  </si>
  <si>
    <t>average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</si>
</sst>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3" fillId="0" borderId="1" xfId="0" applyFont="1" applyBorder="1" applyAlignment="1">
      <alignment horizontal="center" vertical="top"/>
    </xf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2"/>
  <sheetViews>
    <sheetView tabSelected="1" workbookViewId="0">
      <selection activeCell="B30" sqref="B30:I30"/>
    </sheetView>
  </sheetViews>
  <sheetFormatPr defaultRowHeight="13.5" x14ac:dyDescent="0.15"/>
  <sheetData>
    <row r="1" spans="1:18" x14ac:dyDescent="0.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33</v>
      </c>
    </row>
    <row r="2" spans="1:18" x14ac:dyDescent="0.15">
      <c r="A2" s="1" t="s">
        <v>7</v>
      </c>
      <c r="B2">
        <v>0.82267267267267274</v>
      </c>
      <c r="C2">
        <v>0.72432432432432425</v>
      </c>
      <c r="D2">
        <v>0.61509009009008997</v>
      </c>
      <c r="E2">
        <v>0.73018018018018016</v>
      </c>
      <c r="F2">
        <v>0.56914414414414427</v>
      </c>
      <c r="G2">
        <v>0.55465465465465469</v>
      </c>
      <c r="H2">
        <v>0.6745495495495496</v>
      </c>
      <c r="I2">
        <f>VLOOKUP(A2,N:R,2,0)</f>
        <v>0.65671641791044777</v>
      </c>
    </row>
    <row r="3" spans="1:18" x14ac:dyDescent="0.15">
      <c r="A3" s="1" t="s">
        <v>8</v>
      </c>
      <c r="B3">
        <v>0.5334000000000001</v>
      </c>
      <c r="C3">
        <v>0.65199999999999991</v>
      </c>
      <c r="D3">
        <v>0.67100000000000004</v>
      </c>
      <c r="E3">
        <v>0.72260000000000013</v>
      </c>
      <c r="F3">
        <v>0.65979999999999994</v>
      </c>
      <c r="G3">
        <v>0.49800000000000011</v>
      </c>
      <c r="H3">
        <v>0.67599999999999993</v>
      </c>
      <c r="I3" s="2">
        <f t="shared" ref="I3:I27" si="0">VLOOKUP(A3,N:R,2,0)</f>
        <v>0.79487179487179482</v>
      </c>
    </row>
    <row r="4" spans="1:18" x14ac:dyDescent="0.15">
      <c r="A4" s="1" t="s">
        <v>9</v>
      </c>
      <c r="B4">
        <v>0.93496240601503755</v>
      </c>
      <c r="C4">
        <v>0.92625313283208011</v>
      </c>
      <c r="D4">
        <v>0.93330200501253135</v>
      </c>
      <c r="E4">
        <v>0.92794486215538841</v>
      </c>
      <c r="F4">
        <v>0.92277568922305764</v>
      </c>
      <c r="G4">
        <v>0.88762531328320793</v>
      </c>
      <c r="H4">
        <v>0.89808897243107777</v>
      </c>
      <c r="I4" s="2">
        <f t="shared" si="0"/>
        <v>0.94366197183098588</v>
      </c>
    </row>
    <row r="5" spans="1:18" x14ac:dyDescent="0.15">
      <c r="A5" s="1" t="s">
        <v>10</v>
      </c>
      <c r="B5">
        <v>0.81000000000000016</v>
      </c>
      <c r="C5">
        <v>0.66333333333333333</v>
      </c>
      <c r="D5">
        <v>0.68500000000000005</v>
      </c>
      <c r="E5">
        <v>0.66999999999999993</v>
      </c>
      <c r="F5">
        <v>0.66999999999999993</v>
      </c>
      <c r="G5">
        <v>0.36499999999999999</v>
      </c>
      <c r="H5">
        <v>0.65833333333333344</v>
      </c>
      <c r="I5" s="2">
        <f t="shared" si="0"/>
        <v>0.85</v>
      </c>
      <c r="N5" s="2"/>
      <c r="O5" s="3" t="s">
        <v>34</v>
      </c>
      <c r="P5" s="3" t="s">
        <v>35</v>
      </c>
      <c r="Q5" s="3" t="s">
        <v>36</v>
      </c>
      <c r="R5" s="3" t="s">
        <v>37</v>
      </c>
    </row>
    <row r="6" spans="1:18" x14ac:dyDescent="0.15">
      <c r="A6" s="1" t="s">
        <v>11</v>
      </c>
      <c r="B6">
        <v>0.83232492997198881</v>
      </c>
      <c r="C6">
        <v>0.7454481792717087</v>
      </c>
      <c r="D6">
        <v>0.8252100840336134</v>
      </c>
      <c r="E6">
        <v>0.8561204481792718</v>
      </c>
      <c r="F6">
        <v>0.8561204481792718</v>
      </c>
      <c r="G6">
        <v>0.4590756302521008</v>
      </c>
      <c r="H6">
        <v>0.71480392156862749</v>
      </c>
      <c r="I6" s="2">
        <f t="shared" si="0"/>
        <v>1</v>
      </c>
      <c r="N6" s="3" t="s">
        <v>11</v>
      </c>
      <c r="O6" s="2">
        <v>1</v>
      </c>
      <c r="P6" s="2">
        <v>1</v>
      </c>
      <c r="Q6" s="2">
        <v>1</v>
      </c>
      <c r="R6" s="2">
        <v>0.98412698412698407</v>
      </c>
    </row>
    <row r="7" spans="1:18" x14ac:dyDescent="0.15">
      <c r="A7" s="1" t="s">
        <v>12</v>
      </c>
      <c r="B7">
        <v>0.77349999999999997</v>
      </c>
      <c r="C7">
        <v>0.4955</v>
      </c>
      <c r="D7">
        <v>0.53300000000000003</v>
      </c>
      <c r="E7">
        <v>0.56699999999999995</v>
      </c>
      <c r="F7">
        <v>0.56699999999999995</v>
      </c>
      <c r="G7">
        <v>0.52750000000000008</v>
      </c>
      <c r="H7">
        <v>0.52650000000000008</v>
      </c>
      <c r="I7" s="2">
        <f t="shared" si="0"/>
        <v>0.76500000000000001</v>
      </c>
      <c r="N7" s="3" t="s">
        <v>12</v>
      </c>
      <c r="O7" s="2">
        <v>0.76500000000000001</v>
      </c>
      <c r="P7" s="2">
        <v>0.13</v>
      </c>
      <c r="Q7" s="2">
        <v>0.82</v>
      </c>
      <c r="R7" s="2">
        <v>0.77</v>
      </c>
    </row>
    <row r="8" spans="1:18" x14ac:dyDescent="0.15">
      <c r="A8" s="1" t="s">
        <v>13</v>
      </c>
      <c r="B8">
        <v>0.44299999999999989</v>
      </c>
      <c r="C8">
        <v>0.308</v>
      </c>
      <c r="D8">
        <v>0.378</v>
      </c>
      <c r="E8">
        <v>0.2535</v>
      </c>
      <c r="F8">
        <v>0.2535</v>
      </c>
      <c r="G8">
        <v>0.16950000000000001</v>
      </c>
      <c r="H8">
        <v>0.33600000000000002</v>
      </c>
      <c r="I8" s="2">
        <f t="shared" si="0"/>
        <v>0.32500000000000001</v>
      </c>
      <c r="N8" s="3" t="s">
        <v>13</v>
      </c>
      <c r="O8" s="2">
        <v>0.32500000000000001</v>
      </c>
      <c r="P8" s="2">
        <v>8.5000000000000006E-2</v>
      </c>
      <c r="Q8" s="2">
        <v>0.72</v>
      </c>
      <c r="R8" s="2">
        <v>0.73</v>
      </c>
    </row>
    <row r="9" spans="1:18" x14ac:dyDescent="0.15">
      <c r="A9" s="1" t="s">
        <v>14</v>
      </c>
      <c r="B9">
        <v>0.23589743589743589</v>
      </c>
      <c r="C9">
        <v>0.17371794871794871</v>
      </c>
      <c r="D9">
        <v>9.4871794871794868E-2</v>
      </c>
      <c r="E9">
        <v>0.33333333333333343</v>
      </c>
      <c r="F9">
        <v>0.15320512820512819</v>
      </c>
      <c r="G9">
        <v>0.18269230769230771</v>
      </c>
      <c r="H9">
        <v>0.1467948717948718</v>
      </c>
      <c r="I9" s="2">
        <f t="shared" si="0"/>
        <v>0.26923076923076922</v>
      </c>
      <c r="N9" s="3" t="s">
        <v>23</v>
      </c>
      <c r="O9" s="2">
        <v>0.8125</v>
      </c>
      <c r="P9" s="2">
        <v>0.5</v>
      </c>
      <c r="Q9" s="2">
        <v>0.8125</v>
      </c>
      <c r="R9" s="2">
        <v>0.8125</v>
      </c>
    </row>
    <row r="10" spans="1:18" x14ac:dyDescent="0.15">
      <c r="A10" s="1" t="s">
        <v>15</v>
      </c>
      <c r="B10">
        <v>0.53333333333333344</v>
      </c>
      <c r="C10">
        <v>0.2857142857142857</v>
      </c>
      <c r="D10">
        <v>0.32857142857142851</v>
      </c>
      <c r="E10">
        <v>0.3</v>
      </c>
      <c r="F10">
        <v>0.3</v>
      </c>
      <c r="G10">
        <v>0.2</v>
      </c>
      <c r="H10">
        <v>0.35238095238095241</v>
      </c>
      <c r="I10" s="2">
        <f t="shared" si="0"/>
        <v>0.61904761904761907</v>
      </c>
      <c r="N10" s="3" t="s">
        <v>16</v>
      </c>
      <c r="O10" s="2">
        <v>0.63636363636363635</v>
      </c>
      <c r="P10" s="2">
        <v>1</v>
      </c>
      <c r="Q10" s="2">
        <v>1</v>
      </c>
      <c r="R10" s="2">
        <v>1</v>
      </c>
    </row>
    <row r="11" spans="1:18" x14ac:dyDescent="0.15">
      <c r="A11" s="1" t="s">
        <v>16</v>
      </c>
      <c r="B11">
        <v>0.90363636363636368</v>
      </c>
      <c r="C11">
        <v>0.75727272727272721</v>
      </c>
      <c r="D11">
        <v>0.70727272727272728</v>
      </c>
      <c r="E11">
        <v>0.77545454545454551</v>
      </c>
      <c r="F11">
        <v>0.69727272727272727</v>
      </c>
      <c r="G11">
        <v>0.37727272727272732</v>
      </c>
      <c r="H11">
        <v>0.75454545454545463</v>
      </c>
      <c r="I11" s="2">
        <f t="shared" si="0"/>
        <v>0.63636363636363635</v>
      </c>
      <c r="N11" s="3" t="s">
        <v>14</v>
      </c>
      <c r="O11" s="2">
        <v>0.26923076923076922</v>
      </c>
      <c r="P11" s="2">
        <v>3.2051282051282048E-2</v>
      </c>
      <c r="Q11" s="2">
        <v>0.53205128205128205</v>
      </c>
      <c r="R11" s="2">
        <v>0.48076923076923078</v>
      </c>
    </row>
    <row r="12" spans="1:18" x14ac:dyDescent="0.15">
      <c r="A12" s="1" t="s">
        <v>17</v>
      </c>
      <c r="B12">
        <v>0.93181818181818188</v>
      </c>
      <c r="C12">
        <v>0.83272727272727276</v>
      </c>
      <c r="D12">
        <v>0.80454545454545445</v>
      </c>
      <c r="E12">
        <v>0.88363636363636355</v>
      </c>
      <c r="F12">
        <v>0.86454545454545451</v>
      </c>
      <c r="G12">
        <v>0.58363636363636373</v>
      </c>
      <c r="H12">
        <v>0.83363636363636362</v>
      </c>
      <c r="I12" s="2">
        <f t="shared" si="0"/>
        <v>0.9</v>
      </c>
      <c r="N12" s="3" t="s">
        <v>7</v>
      </c>
      <c r="O12" s="2">
        <v>0.65671641791044777</v>
      </c>
      <c r="P12" s="2">
        <v>0.95522388059701491</v>
      </c>
      <c r="Q12" s="2">
        <v>0.97014925373134331</v>
      </c>
      <c r="R12" s="2">
        <v>0.95522388059701491</v>
      </c>
    </row>
    <row r="13" spans="1:18" x14ac:dyDescent="0.15">
      <c r="A13" s="1" t="s">
        <v>18</v>
      </c>
      <c r="B13">
        <v>0.55098039215686279</v>
      </c>
      <c r="C13">
        <v>0.57516339869281052</v>
      </c>
      <c r="D13">
        <v>0.59150326797385622</v>
      </c>
      <c r="E13">
        <v>0.49738562091503269</v>
      </c>
      <c r="F13">
        <v>0.52614379084967322</v>
      </c>
      <c r="G13">
        <v>0.35196078431372552</v>
      </c>
      <c r="H13">
        <v>0.51045751633986924</v>
      </c>
      <c r="I13" s="2">
        <f t="shared" si="0"/>
        <v>0.61111111111111116</v>
      </c>
      <c r="N13" s="3" t="s">
        <v>38</v>
      </c>
      <c r="O13" s="2">
        <v>0.61111111111111116</v>
      </c>
      <c r="P13" s="2">
        <v>0.80555555555555558</v>
      </c>
      <c r="Q13" s="2">
        <v>0.80555555555555558</v>
      </c>
      <c r="R13" s="2">
        <v>0.80555555555555558</v>
      </c>
    </row>
    <row r="14" spans="1:18" x14ac:dyDescent="0.15">
      <c r="A14" s="1" t="s">
        <v>19</v>
      </c>
      <c r="B14">
        <v>0.6100000000000001</v>
      </c>
      <c r="C14">
        <v>0.52000000000000013</v>
      </c>
      <c r="D14">
        <v>0.61</v>
      </c>
      <c r="E14">
        <v>0.34</v>
      </c>
      <c r="F14">
        <v>0.60000000000000009</v>
      </c>
      <c r="G14">
        <v>0.47</v>
      </c>
      <c r="H14">
        <v>0.57999999999999985</v>
      </c>
      <c r="I14" s="2">
        <f t="shared" si="0"/>
        <v>0.9</v>
      </c>
      <c r="N14" s="3" t="s">
        <v>22</v>
      </c>
      <c r="O14" s="2">
        <v>0.64150943396226412</v>
      </c>
      <c r="P14" s="2">
        <v>0.86792452830188682</v>
      </c>
      <c r="Q14" s="2">
        <v>0.86792452830188682</v>
      </c>
      <c r="R14" s="2">
        <v>0.86792452830188682</v>
      </c>
    </row>
    <row r="15" spans="1:18" x14ac:dyDescent="0.15">
      <c r="A15" s="1" t="s">
        <v>20</v>
      </c>
      <c r="B15">
        <v>0.53030303030303028</v>
      </c>
      <c r="C15">
        <v>0.61287878787878791</v>
      </c>
      <c r="D15">
        <v>0.6310606060606061</v>
      </c>
      <c r="E15">
        <v>0.68409090909090908</v>
      </c>
      <c r="F15">
        <v>0.60151515151515156</v>
      </c>
      <c r="G15">
        <v>0.4242424242424242</v>
      </c>
      <c r="H15">
        <v>0.53106060606060601</v>
      </c>
      <c r="I15" s="2">
        <f t="shared" si="0"/>
        <v>0.73333333333333328</v>
      </c>
      <c r="N15" s="3" t="s">
        <v>10</v>
      </c>
      <c r="O15" s="2">
        <v>0.85</v>
      </c>
      <c r="P15" s="2">
        <v>0.8666666666666667</v>
      </c>
      <c r="Q15" s="2">
        <v>0.93333333333333335</v>
      </c>
      <c r="R15" s="2">
        <v>0.93333333333333335</v>
      </c>
    </row>
    <row r="16" spans="1:18" x14ac:dyDescent="0.15">
      <c r="A16" s="1" t="s">
        <v>21</v>
      </c>
      <c r="B16">
        <v>0.88249999999999995</v>
      </c>
      <c r="C16">
        <v>0.62449999999999994</v>
      </c>
      <c r="D16">
        <v>0.72533333333333327</v>
      </c>
      <c r="E16">
        <v>0.67716666666666669</v>
      </c>
      <c r="F16">
        <v>0.67716666666666669</v>
      </c>
      <c r="G16">
        <v>0.33066666666666661</v>
      </c>
      <c r="H16">
        <v>0.56083333333333329</v>
      </c>
      <c r="I16" s="2">
        <f t="shared" si="0"/>
        <v>0.91489361702127658</v>
      </c>
      <c r="N16" s="3" t="s">
        <v>8</v>
      </c>
      <c r="O16" s="2">
        <v>0.79487179487179482</v>
      </c>
      <c r="P16" s="2">
        <v>0.77712031558185402</v>
      </c>
      <c r="Q16" s="2">
        <v>0.82642998027613412</v>
      </c>
      <c r="R16" s="2">
        <v>0.82051282051282048</v>
      </c>
    </row>
    <row r="17" spans="1:18" x14ac:dyDescent="0.15">
      <c r="A17" s="1" t="s">
        <v>22</v>
      </c>
      <c r="B17">
        <v>0.63014184397163109</v>
      </c>
      <c r="C17">
        <v>0.62974290780141839</v>
      </c>
      <c r="D17">
        <v>0.61542553191489358</v>
      </c>
      <c r="E17">
        <v>0.70549645390070925</v>
      </c>
      <c r="F17">
        <v>0.69929078014184387</v>
      </c>
      <c r="G17">
        <v>0.64264184397163115</v>
      </c>
      <c r="H17">
        <v>0.63860815602836873</v>
      </c>
      <c r="I17" s="2">
        <f t="shared" si="0"/>
        <v>0.64150943396226412</v>
      </c>
      <c r="N17" s="3" t="s">
        <v>9</v>
      </c>
      <c r="O17" s="2">
        <v>0.94366197183098588</v>
      </c>
      <c r="P17" s="2">
        <v>0.92957746478873238</v>
      </c>
      <c r="Q17" s="2">
        <v>0.92957746478873238</v>
      </c>
      <c r="R17" s="2">
        <v>0.95774647887323938</v>
      </c>
    </row>
    <row r="18" spans="1:18" x14ac:dyDescent="0.15">
      <c r="A18" s="1" t="s">
        <v>23</v>
      </c>
      <c r="B18">
        <v>0.55277777777777781</v>
      </c>
      <c r="C18">
        <v>0.625</v>
      </c>
      <c r="D18">
        <v>0.6</v>
      </c>
      <c r="E18">
        <v>0.5541666666666667</v>
      </c>
      <c r="F18">
        <v>0.72638888888888886</v>
      </c>
      <c r="G18">
        <v>0.27638888888888891</v>
      </c>
      <c r="H18">
        <v>0.63472222222222219</v>
      </c>
      <c r="I18" s="2">
        <f t="shared" si="0"/>
        <v>0.8125</v>
      </c>
      <c r="N18" s="3" t="s">
        <v>26</v>
      </c>
      <c r="O18" s="2">
        <v>0.68181818181818177</v>
      </c>
      <c r="P18" s="2">
        <v>0.81818181818181823</v>
      </c>
      <c r="Q18" s="2">
        <v>0.68181818181818177</v>
      </c>
      <c r="R18" s="2">
        <v>0.81818181818181823</v>
      </c>
    </row>
    <row r="19" spans="1:18" x14ac:dyDescent="0.15">
      <c r="A19" s="1" t="s">
        <v>24</v>
      </c>
      <c r="B19">
        <v>0.40769230769230769</v>
      </c>
      <c r="C19">
        <v>0.43076923076923068</v>
      </c>
      <c r="D19">
        <v>0.45384615384615379</v>
      </c>
      <c r="E19">
        <v>0.42307692307692307</v>
      </c>
      <c r="F19">
        <v>0.40769230769230769</v>
      </c>
      <c r="G19">
        <v>0.17094017094017089</v>
      </c>
      <c r="H19">
        <v>0.45384615384615379</v>
      </c>
      <c r="I19" s="2">
        <f t="shared" si="0"/>
        <v>0.46153846153846162</v>
      </c>
      <c r="N19" s="3" t="s">
        <v>20</v>
      </c>
      <c r="O19" s="2">
        <v>0.73333333333333328</v>
      </c>
      <c r="P19" s="2">
        <v>0.66666666666666663</v>
      </c>
      <c r="Q19" s="2">
        <v>0.8666666666666667</v>
      </c>
      <c r="R19" s="2">
        <v>0.73333333333333328</v>
      </c>
    </row>
    <row r="20" spans="1:18" x14ac:dyDescent="0.15">
      <c r="A20" s="1" t="s">
        <v>25</v>
      </c>
      <c r="B20">
        <v>0.52</v>
      </c>
      <c r="C20">
        <v>0.62</v>
      </c>
      <c r="D20">
        <v>0.58000000000000007</v>
      </c>
      <c r="E20">
        <v>0.6</v>
      </c>
      <c r="F20">
        <v>0.5</v>
      </c>
      <c r="G20">
        <v>0.50000000000000011</v>
      </c>
      <c r="H20">
        <v>0.50000000000000022</v>
      </c>
      <c r="I20" s="2">
        <f t="shared" si="0"/>
        <v>0.83333333333333337</v>
      </c>
      <c r="N20" s="3" t="s">
        <v>25</v>
      </c>
      <c r="O20" s="2">
        <v>0.83333333333333337</v>
      </c>
      <c r="P20" s="2">
        <v>0.83333333333333337</v>
      </c>
      <c r="Q20" s="2">
        <v>0.83333333333333337</v>
      </c>
      <c r="R20" s="2">
        <v>0.83333333333333337</v>
      </c>
    </row>
    <row r="21" spans="1:18" x14ac:dyDescent="0.15">
      <c r="A21" s="1" t="s">
        <v>26</v>
      </c>
      <c r="B21">
        <v>0.67500000000000004</v>
      </c>
      <c r="C21">
        <v>0.625</v>
      </c>
      <c r="D21">
        <v>0.60499999999999998</v>
      </c>
      <c r="E21">
        <v>0.67999999999999994</v>
      </c>
      <c r="F21">
        <v>0.66500000000000004</v>
      </c>
      <c r="G21">
        <v>0.63500000000000001</v>
      </c>
      <c r="H21">
        <v>0.59500000000000008</v>
      </c>
      <c r="I21" s="2">
        <f t="shared" si="0"/>
        <v>0.68181818181818177</v>
      </c>
      <c r="N21" s="3" t="s">
        <v>21</v>
      </c>
      <c r="O21" s="2">
        <v>0.91489361702127658</v>
      </c>
      <c r="P21" s="2">
        <v>0.97872340425531912</v>
      </c>
      <c r="Q21" s="2">
        <v>0.97872340425531912</v>
      </c>
      <c r="R21" s="2">
        <v>0.97872340425531912</v>
      </c>
    </row>
    <row r="22" spans="1:18" x14ac:dyDescent="0.15">
      <c r="A22" s="1" t="s">
        <v>27</v>
      </c>
      <c r="B22">
        <v>0.58650000000000002</v>
      </c>
      <c r="C22">
        <v>0.57800000000000007</v>
      </c>
      <c r="D22">
        <v>0.59999999999999987</v>
      </c>
      <c r="E22">
        <v>0.58200000000000007</v>
      </c>
      <c r="F22">
        <v>0.58799999999999986</v>
      </c>
      <c r="G22">
        <v>0.5149999999999999</v>
      </c>
      <c r="H22">
        <v>0.59099999999999997</v>
      </c>
      <c r="I22" s="2">
        <f t="shared" si="0"/>
        <v>0.56000000000000005</v>
      </c>
      <c r="N22" s="3" t="s">
        <v>19</v>
      </c>
      <c r="O22" s="2">
        <v>0.9</v>
      </c>
      <c r="P22" s="2">
        <v>0.8</v>
      </c>
      <c r="Q22" s="2">
        <v>1</v>
      </c>
      <c r="R22" s="2">
        <v>0.9</v>
      </c>
    </row>
    <row r="23" spans="1:18" x14ac:dyDescent="0.15">
      <c r="A23" s="1" t="s">
        <v>28</v>
      </c>
      <c r="B23">
        <v>0.60138888888888897</v>
      </c>
      <c r="C23">
        <v>0.61111111111111105</v>
      </c>
      <c r="D23">
        <v>0.55416666666666659</v>
      </c>
      <c r="E23">
        <v>0.66527777777777775</v>
      </c>
      <c r="F23">
        <v>0.6875</v>
      </c>
      <c r="G23">
        <v>0.60277777777777775</v>
      </c>
      <c r="H23">
        <v>0.46666666666666662</v>
      </c>
      <c r="I23" s="2">
        <f t="shared" si="0"/>
        <v>0.5</v>
      </c>
      <c r="N23" s="3" t="s">
        <v>17</v>
      </c>
      <c r="O23" s="2">
        <v>0.9</v>
      </c>
      <c r="P23" s="2">
        <v>0.9</v>
      </c>
      <c r="Q23" s="2">
        <v>0.9</v>
      </c>
      <c r="R23" s="2">
        <v>0.9</v>
      </c>
    </row>
    <row r="24" spans="1:18" x14ac:dyDescent="0.15">
      <c r="A24" s="1" t="s">
        <v>29</v>
      </c>
      <c r="B24">
        <v>0.85238095238095235</v>
      </c>
      <c r="C24">
        <v>0.87142857142857155</v>
      </c>
      <c r="D24">
        <v>0.85238095238095235</v>
      </c>
      <c r="E24">
        <v>0.77380952380952384</v>
      </c>
      <c r="F24">
        <v>0.80714285714285716</v>
      </c>
      <c r="G24">
        <v>0.68809523809523809</v>
      </c>
      <c r="H24">
        <v>0.80476190476190479</v>
      </c>
      <c r="I24" s="2">
        <f t="shared" si="0"/>
        <v>1</v>
      </c>
      <c r="N24" s="3" t="s">
        <v>18</v>
      </c>
      <c r="O24" s="2">
        <v>0.61111111111111116</v>
      </c>
      <c r="P24" s="2">
        <v>0.61111111111111116</v>
      </c>
      <c r="Q24" s="2">
        <v>0.72222222222222221</v>
      </c>
      <c r="R24" s="2">
        <v>0.77777777777777779</v>
      </c>
    </row>
    <row r="25" spans="1:18" x14ac:dyDescent="0.15">
      <c r="A25" s="1" t="s">
        <v>30</v>
      </c>
      <c r="B25">
        <v>0.55857163067056503</v>
      </c>
      <c r="C25">
        <v>0.48029378477789308</v>
      </c>
      <c r="D25">
        <v>0.45316042629444497</v>
      </c>
      <c r="E25">
        <v>0.48206545317362998</v>
      </c>
      <c r="F25">
        <v>0.47750353673488638</v>
      </c>
      <c r="G25">
        <v>0.63377110251815527</v>
      </c>
      <c r="H25">
        <v>0.44924738281618409</v>
      </c>
      <c r="I25" s="2">
        <f t="shared" si="0"/>
        <v>0.66956521739130437</v>
      </c>
      <c r="N25" s="3" t="s">
        <v>24</v>
      </c>
      <c r="O25" s="2">
        <v>0.46153846153846162</v>
      </c>
      <c r="P25" s="2">
        <v>0.46153846153846162</v>
      </c>
      <c r="Q25" s="2">
        <v>1</v>
      </c>
      <c r="R25" s="2">
        <v>0.69230769230769229</v>
      </c>
    </row>
    <row r="26" spans="1:18" x14ac:dyDescent="0.15">
      <c r="A26" s="1" t="s">
        <v>31</v>
      </c>
      <c r="B26">
        <v>0.62382445141065823</v>
      </c>
      <c r="C26">
        <v>0.65454545454545454</v>
      </c>
      <c r="D26">
        <v>0.65454545454545454</v>
      </c>
      <c r="E26">
        <v>0.76990595611285273</v>
      </c>
      <c r="F26">
        <v>0.88996865203761755</v>
      </c>
      <c r="G26">
        <v>0.51880877742946707</v>
      </c>
      <c r="H26">
        <v>0.65924764890282117</v>
      </c>
      <c r="I26" s="2">
        <f t="shared" si="0"/>
        <v>0.74294670846394995</v>
      </c>
      <c r="N26" s="3" t="s">
        <v>15</v>
      </c>
      <c r="O26" s="2">
        <v>0.61904761904761907</v>
      </c>
      <c r="P26" s="2">
        <v>0.42857142857142849</v>
      </c>
      <c r="Q26" s="2">
        <v>0.90476190476190477</v>
      </c>
      <c r="R26" s="2">
        <v>0.80952380952380953</v>
      </c>
    </row>
    <row r="27" spans="1:18" x14ac:dyDescent="0.15">
      <c r="A27" s="1" t="s">
        <v>32</v>
      </c>
      <c r="B27">
        <v>0.64568324757004003</v>
      </c>
      <c r="C27">
        <v>0.72852960312296688</v>
      </c>
      <c r="D27">
        <v>0.64220835551349542</v>
      </c>
      <c r="E27">
        <v>0.89486997496106147</v>
      </c>
      <c r="F27">
        <v>0.8327477770548688</v>
      </c>
      <c r="G27">
        <v>0.50783699059561127</v>
      </c>
      <c r="H27">
        <v>0.70087734863271622</v>
      </c>
      <c r="I27" s="2">
        <f t="shared" si="0"/>
        <v>0.75786163522012573</v>
      </c>
      <c r="N27" s="5" t="s">
        <v>29</v>
      </c>
      <c r="O27" s="4">
        <v>1</v>
      </c>
      <c r="P27" s="4">
        <v>0.83333333333333337</v>
      </c>
      <c r="Q27" s="4">
        <v>0.83333333333333337</v>
      </c>
      <c r="R27" s="4">
        <v>0.83333333333333337</v>
      </c>
    </row>
    <row r="28" spans="1:18" x14ac:dyDescent="0.15">
      <c r="A28" s="1" t="s">
        <v>39</v>
      </c>
      <c r="B28">
        <f>AVERAGE(B2:B27)</f>
        <v>0.65316499408337414</v>
      </c>
      <c r="C28" s="4">
        <f>AVERAGE(C2:C27)</f>
        <v>0.60581746362776634</v>
      </c>
      <c r="D28" s="4">
        <f>AVERAGE(D2:D27)</f>
        <v>0.60555747434336538</v>
      </c>
      <c r="E28" s="4">
        <f>AVERAGE(E2:E27)</f>
        <v>0.62881083304195518</v>
      </c>
      <c r="F28" s="4">
        <f>AVERAGE(F2:F27)</f>
        <v>0.62305476924209791</v>
      </c>
      <c r="G28" s="4">
        <f>AVERAGE(G2:G27)</f>
        <v>0.46434952547042763</v>
      </c>
      <c r="H28" s="4">
        <f>AVERAGE(H2:H27)</f>
        <v>0.58646009072504146</v>
      </c>
      <c r="I28" s="4">
        <f>AVERAGE(I2:I27)</f>
        <v>0.71462704778648445</v>
      </c>
      <c r="N28" s="5" t="s">
        <v>28</v>
      </c>
      <c r="O28" s="4">
        <v>0.5</v>
      </c>
      <c r="P28" s="4">
        <v>0.375</v>
      </c>
      <c r="Q28" s="4">
        <v>1</v>
      </c>
      <c r="R28" s="4">
        <v>0.875</v>
      </c>
    </row>
    <row r="29" spans="1:18" x14ac:dyDescent="0.15">
      <c r="B29">
        <f>AVERAGE(RANK(B27,B27:I27),RANK(B26,B26:I26),RANK(B25,B25:I25))</f>
        <v>5.333333333333333</v>
      </c>
      <c r="C29" s="4">
        <f>RANK(C28,B28:I28)</f>
        <v>5</v>
      </c>
      <c r="D29" s="4">
        <f>RANK(D28,B28:I28)</f>
        <v>6</v>
      </c>
      <c r="E29" s="4">
        <f>RANK(E28,B28:I28)</f>
        <v>3</v>
      </c>
      <c r="F29" s="4">
        <f>RANK(F28,B28:I28)</f>
        <v>4</v>
      </c>
      <c r="G29" s="4">
        <f>RANK(G28,B28:I28)</f>
        <v>8</v>
      </c>
      <c r="H29" s="4">
        <f>RANK(H28,B28:I28)</f>
        <v>7</v>
      </c>
      <c r="I29" s="4">
        <f>RANK(I28,B28:I28)</f>
        <v>1</v>
      </c>
      <c r="N29" s="5" t="s">
        <v>27</v>
      </c>
      <c r="O29" s="4">
        <v>0.56000000000000005</v>
      </c>
      <c r="P29" s="4">
        <v>0.52</v>
      </c>
      <c r="Q29" s="4">
        <v>0.58499999999999996</v>
      </c>
      <c r="R29" s="4">
        <v>0.56000000000000005</v>
      </c>
    </row>
    <row r="30" spans="1:18" x14ac:dyDescent="0.15">
      <c r="B30">
        <f>AVERAGE(RANK(B2,B2:I2,0),
RANK(B3,B3:I3,0),
RANK(B4,B4:I4,0),
RANK(B5,B5:I5,0),
RANK(B6,B6:I6,0),
RANK(B7,B7:I7,0),
RANK(B8,B8:I8,0),
RANK(B9,B9:I9,0),RANK(B10,B10:I10,0),
RANK(B11,B11:I11,0),
RANK(B12,B12:I12,0),
RANK(B13,B13:I13,0),
RANK(B14,B14:I14,0),
RANK(B15,B15:I15,0),
RANK(B16,B16:I16,0),
RANK(B17,B17:I17,0),
RANK(B18,B18:I18,0),RANK(B19,B19:I19,0),
RANK(B20,B20:I20,0),
RANK(B21,B21:I21,0),
RANK(B22,B22:I22,0),
RANK(B23,B23:I23,0),
RANK(B24,B24:I24,0),
RANK(B25,B25:I25,0),
RANK(B26,B26:I26,0),
RANK(B27,B27:I27,0))</f>
        <v>3.6538461538461537</v>
      </c>
      <c r="C30" s="4">
        <f>AVERAGE(RANK(C2,B2:I2,0),
RANK(C3,B3:I3,0),
RANK(C4,B4:I4,0),
RANK(C5,B5:I5,0),
RANK(C6,B6:I6,0),
RANK(C7,B7:I7,0),
RANK(C8,B8:I8,0),
RANK(C9,B9:I9,0),RANK(C10,B10:I10,0),
RANK(C11,B11:I11,0),
RANK(C12,B12:I12,0),
RANK(C13,B13:I13,0),
RANK(C14,B14:I14,0),
RANK(C15,B15:I15,0),
RANK(C16,B16:I16,0),
RANK(C17,B17:I17,0),
RANK(C18,B18:I18,0),RANK(C19,B19:I19,0),
RANK(C20,B20:I20,0),
RANK(C21,B21:I21,0),
RANK(C22,B22:I22,0),
RANK(C23,B23:I23,0),
RANK(C24,B24:I24,0),
RANK(C25,B25:I25,0),
RANK(C26,B26:I26,0),
RANK(C27,B27:I27,0))</f>
        <v>4.884615384615385</v>
      </c>
      <c r="D30" s="4">
        <f>AVERAGE(RANK(D2,B2:I2,0),
RANK(D3,B3:I3,0),
RANK(D4,B4:I4,0),
RANK(D5,B5:I5,0),
RANK(D6,B6:I6,0),
RANK(D7,B7:I7,0),
RANK(D8,B8:I8,0),
RANK(D9,B9:I9,0),RANK(D10,B10:I10,0),
RANK(D11,B11:I11,0),
RANK(D12,B12:I12,0),
RANK(D13,B13:I13,0),
RANK(D14,B14:I14,0),
RANK(D15,B15:I15,0),
RANK(D16,B16:I16,0),
RANK(D17,B17:I17,0),
RANK(D18,B18:I18,0),RANK(D19,B19:I19,0),
RANK(D20,B20:I20,0),
RANK(D21,B21:I21,0),
RANK(D22,B22:I22,0),
RANK(D23,B23:I23,0),
RANK(D24,B24:I24,0),
RANK(D25,B25:I25,0),
RANK(D26,B26:I26,0),
RANK(D27,B27:I27,0))</f>
        <v>4.5384615384615383</v>
      </c>
      <c r="E30" s="4">
        <f>AVERAGE(RANK(E2,B2:I2,0),
RANK(E3,B3:I3,0),
RANK(E4,B4:I4,0),
RANK(E5,B5:I5,0),
RANK(E6,B6:I6,0),
RANK(E7,B7:I7,0),
RANK(E8,B8:I8,0),
RANK(E9,B9:I9,0),RANK(E10,B10:I10,0),
RANK(E11,B11:I11,0),
RANK(E12,B12:I12,0),
RANK(E13,B13:I13,0),
RANK(E14,B14:I14,0),
RANK(E15,B15:I15,0),
RANK(E16,B16:I16,0),
RANK(E17,B17:I17,0),
RANK(E18,B18:I18,0),RANK(E19,B19:I19,0),
RANK(E20,B20:I20,0),
RANK(E21,B21:I21,0),
RANK(E22,B22:I22,0),
RANK(E23,B23:I23,0),
RANK(E24,B24:I24,0),
RANK(E25,B25:I25,0),
RANK(E26,B26:I26,0),
RANK(E27,B27:I27,0))</f>
        <v>3.5769230769230771</v>
      </c>
      <c r="F30" s="4">
        <f>AVERAGE(
RANK(F2,B2:I2,0),
RANK(F3,B3:I3,0),
RANK(F4,B4:I4,0),
RANK(F5,B5:I5,0),
RANK(F6,B6:I6,0),
RANK(F7,B7:I7,0),
RANK(F8,B8:I8,0),
RANK(F9,B9:I9,0),
RANK(F10,B10:I10,0),
RANK(F11,B11:I11,0),
RANK(F12,B12:I12,0),
RANK(F13,B13:I13,0),
RANK(F14,B14:I14,0),
RANK(F15,B15:I15,0),
RANK(F16,B16:I16,0),
RANK(F17,B17:I17,0),
RANK(F18,B18:I18,0),
RANK(F19,B19:I19,0),
RANK(F20,B20:I20,0),
RANK(F21,B21:I21,0),
RANK(F22,B22:I22,0),
RANK(F23,B23:I23,0),
RANK(F24,B24:I24,0),
RANK(F25,B25:I25,0),
RANK(F26,B26:I26,0),
RANK(F27,B27:I27,0))</f>
        <v>4.3076923076923075</v>
      </c>
      <c r="G30" s="4">
        <f>AVERAGE(
RANK(G2,B2:I2,0),
RANK(G3,B3:I3,0),
RANK(G4,B4:I4,0),
RANK(G5,B5:I5,0),
RANK(G6,B6:I6,0),
RANK(G7,B7:I7,0),
RANK(G8,B8:I8,0),
RANK(G9,B9:I9,0),
RANK(G10,B10:I10,0),
RANK(G11,B11:I11,0),
RANK(G12,B12:I12,0),
RANK(G13,B13:I13,0),
RANK(G14,B14:I14,0),
RANK(G15,B15:I15,0),
RANK(G16,B16:I16,0),
RANK(G17,B17:I17,0),
RANK(G18,B18:I18,0),
RANK(G19,B19:I19,0),
RANK(G20,B20:I20,0),
RANK(G21,B21:I21,0),
RANK(G22,B22:I22,0),
RANK(G23,B23:I23,0),
RANK(G24,B24:I24,0),
RANK(G25,B25:I25,0),
RANK(G26,B26:I26,0),
RANK(G27,B27:I27,0))</f>
        <v>7</v>
      </c>
      <c r="H30" s="4">
        <f>AVERAGE(
RANK(H2,B2:I2,0),
RANK(H3,B3:I3,0),
RANK(H4,B4:I4,0),
RANK(H5,B5:I5,0),
RANK(H6,B6:I6,0),
RANK(H7,B7:I7,0),
RANK(H8,B8:I8,0),
RANK(H9,B9:I9,0),
RANK(H10,B10:I10,0),
RANK(H11,B11:I11,0),
RANK(H12,B12:I12,0),
RANK(H13,B13:I13,0),
RANK(H14,B14:I14,0),
RANK(H15,B15:I15,0),
RANK(H16,B16:I16,0),
RANK(H17,B17:I17,0),
RANK(H18,B18:I18,0),
RANK(H19,B19:I19,0),
RANK(H20,B20:I20,0),
RANK(H21,B21:I21,0),
RANK(H22,B22:I22,0),
RANK(H23,B23:I23,0),
RANK(H24,B24:I24,0),
RANK(H25,B25:I25,0),
RANK(H26,B26:I26,0),
RANK(H27,B27:I27,0))</f>
        <v>5.3076923076923075</v>
      </c>
      <c r="I30" s="4">
        <f>AVERAGE(
RANK(I2,B2:I2,0),
RANK(I3,B3:I3,0),
RANK(I4,B4:I4,0),
RANK(I5,B5:I5,0),
RANK(I6,B6:I6,0),
RANK(I7,B7:I7,0),
RANK(I8,B8:I8,0),
RANK(I9,B9:I9,0),
RANK(I10,B10:I10,0),
RANK(I11,B11:I11,0),
RANK(I12,B12:I12,0),
RANK(I13,B13:I13,0),
RANK(I14,B14:I14,0),
RANK(I15,B15:I15,0),
RANK(I16,B16:I16,0),
RANK(I17,B17:I17,0),
RANK(I18,B18:I18,0),
RANK(I19,B19:I19,0),
RANK(I20,B20:I20,0),
RANK(I21,B21:I21,0),
RANK(I22,B22:I22,0),
RANK(I23,B23:I23,0),
RANK(I24,B24:I24,0),
RANK(I25,B25:I25,0),
RANK(I26,B26:I26,0),
RANK(I27,B27:I27,0))</f>
        <v>2.3461538461538463</v>
      </c>
      <c r="N30" s="5" t="s">
        <v>30</v>
      </c>
      <c r="O30" s="4">
        <v>0.66956521739130437</v>
      </c>
      <c r="P30" s="4">
        <v>0.35652173913043478</v>
      </c>
      <c r="Q30" s="4">
        <v>0.67173913043478262</v>
      </c>
      <c r="R30" s="4">
        <v>0.67173913043478262</v>
      </c>
    </row>
    <row r="31" spans="1:18" x14ac:dyDescent="0.15">
      <c r="N31" s="5" t="s">
        <v>31</v>
      </c>
      <c r="O31" s="4">
        <v>0.74294670846394995</v>
      </c>
      <c r="P31" s="4">
        <v>0.2507836990595611</v>
      </c>
      <c r="Q31" s="4">
        <v>0.7492163009404389</v>
      </c>
      <c r="R31" s="4">
        <v>0.71159874608150475</v>
      </c>
    </row>
    <row r="32" spans="1:18" x14ac:dyDescent="0.15">
      <c r="N32" s="5" t="s">
        <v>32</v>
      </c>
      <c r="O32" s="4">
        <v>0.75786163522012573</v>
      </c>
      <c r="P32" s="4">
        <v>0.68867924528301883</v>
      </c>
      <c r="Q32" s="4">
        <v>0.73584905660377353</v>
      </c>
      <c r="R32" s="4">
        <v>0.64779874213836475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Fancy Fang</cp:lastModifiedBy>
  <dcterms:created xsi:type="dcterms:W3CDTF">2025-05-11T11:53:22Z</dcterms:created>
  <dcterms:modified xsi:type="dcterms:W3CDTF">2025-06-01T08:59:28Z</dcterms:modified>
</cp:coreProperties>
</file>