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16002C98-EAA1-4D53-82A0-72797CB18439}" xr6:coauthVersionLast="47" xr6:coauthVersionMax="47" xr10:uidLastSave="{00000000-0000-0000-0000-000000000000}"/>
  <bookViews>
    <workbookView xWindow="9510" yWindow="4725" windowWidth="27030" windowHeight="157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B30" i="1"/>
  <c r="I30" i="1"/>
  <c r="H30" i="1"/>
  <c r="G30" i="1"/>
  <c r="F30" i="1"/>
  <c r="E30" i="1"/>
  <c r="D30" i="1"/>
  <c r="B29" i="1"/>
  <c r="C29" i="1"/>
  <c r="D29" i="1"/>
  <c r="E29" i="1"/>
  <c r="F29" i="1"/>
  <c r="G29" i="1"/>
  <c r="H29" i="1"/>
  <c r="I2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<sst xmlns="http://schemas.openxmlformats.org/spreadsheetml/2006/main" count="65" uniqueCount="39">
  <si>
    <t>EAMB</t>
  </si>
  <si>
    <t>IAMB</t>
  </si>
  <si>
    <t>Inter-IAMB</t>
  </si>
  <si>
    <t>LRH</t>
  </si>
  <si>
    <t>Fast-IAMB</t>
  </si>
  <si>
    <t>GSMB</t>
  </si>
  <si>
    <t>FBED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</si>
  <si>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</si>
  <si>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</si>
  <si>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</si>
  <si>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</si>
  <si>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</si>
  <si>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</si>
  <si>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</si>
  <si>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</si>
  <si>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</si>
  <si>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</si>
  <si>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</si>
  <si>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</si>
  <si>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</si>
  <si>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</si>
  <si>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</si>
  <si>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</si>
  <si>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</si>
  <si>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WarpAR10P</t>
  </si>
  <si>
    <t>GLIOMA</t>
  </si>
  <si>
    <t>Arcene</t>
  </si>
  <si>
    <t>madelon</t>
  </si>
  <si>
    <t>SRBCT</t>
  </si>
  <si>
    <t>Colon</t>
  </si>
  <si>
    <t>spambase</t>
  </si>
  <si>
    <t>splice</t>
  </si>
  <si>
    <t>dna</t>
  </si>
  <si>
    <t>dexter</t>
  </si>
  <si>
    <t>b</t>
  </si>
  <si>
    <t>k</t>
  </si>
  <si>
    <t>s</t>
  </si>
  <si>
    <t>r</t>
  </si>
  <si>
    <t>Movement_libras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</si>
</sst>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B30" sqref="B30:I30"/>
    </sheetView>
  </sheetViews>
  <sheetFormatPr defaultRowHeight="13.5" x14ac:dyDescent="0.15"/>
  <sheetData>
    <row r="1" spans="1:18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8" x14ac:dyDescent="0.15">
      <c r="A2" s="1" t="s">
        <v>7</v>
      </c>
      <c r="B2">
        <v>0.89917417417417433</v>
      </c>
      <c r="C2">
        <v>0.71298798798798813</v>
      </c>
      <c r="D2">
        <v>0.54331831831831834</v>
      </c>
      <c r="E2">
        <v>0.84481981981981968</v>
      </c>
      <c r="F2">
        <v>0.59121621621621623</v>
      </c>
      <c r="G2">
        <v>0.69699699699699702</v>
      </c>
      <c r="H2">
        <v>0.69054054054054059</v>
      </c>
      <c r="I2">
        <f>VLOOKUP(A2,N:R,3,0)</f>
        <v>0.95522388059701491</v>
      </c>
    </row>
    <row r="3" spans="1:18" x14ac:dyDescent="0.15">
      <c r="A3" s="1" t="s">
        <v>8</v>
      </c>
      <c r="B3">
        <v>0.48340000000000011</v>
      </c>
      <c r="C3">
        <v>0.61820000000000008</v>
      </c>
      <c r="D3">
        <v>0.64159999999999995</v>
      </c>
      <c r="E3">
        <v>0.71639999999999993</v>
      </c>
      <c r="F3">
        <v>0.65679999999999994</v>
      </c>
      <c r="G3">
        <v>0.43719999999999998</v>
      </c>
      <c r="H3">
        <v>0.63519999999999999</v>
      </c>
      <c r="I3">
        <f t="shared" ref="I3:I28" si="0">VLOOKUP(A3,N:R,3,0)</f>
        <v>0.77712031558185402</v>
      </c>
    </row>
    <row r="4" spans="1:18" x14ac:dyDescent="0.15">
      <c r="A4" s="1" t="s">
        <v>9</v>
      </c>
      <c r="B4">
        <v>0.93333333333333335</v>
      </c>
      <c r="C4">
        <v>0.89279448621553892</v>
      </c>
      <c r="D4">
        <v>0.89990601503759393</v>
      </c>
      <c r="E4">
        <v>0.93681077694235593</v>
      </c>
      <c r="F4">
        <v>0.91218671679197993</v>
      </c>
      <c r="G4">
        <v>0.86817042606516281</v>
      </c>
      <c r="H4">
        <v>0.80996240601503755</v>
      </c>
      <c r="I4">
        <f t="shared" si="0"/>
        <v>0.92957746478873238</v>
      </c>
    </row>
    <row r="5" spans="1:18" x14ac:dyDescent="0.15">
      <c r="A5" s="1" t="s">
        <v>10</v>
      </c>
      <c r="B5">
        <v>0.83166666666666667</v>
      </c>
      <c r="C5">
        <v>0.53</v>
      </c>
      <c r="D5">
        <v>0.57666666666666677</v>
      </c>
      <c r="E5">
        <v>0.56333333333333335</v>
      </c>
      <c r="F5">
        <v>0.56333333333333335</v>
      </c>
      <c r="G5">
        <v>0.33500000000000002</v>
      </c>
      <c r="H5">
        <v>0.53499999999999992</v>
      </c>
      <c r="I5">
        <f t="shared" si="0"/>
        <v>0.8666666666666667</v>
      </c>
    </row>
    <row r="6" spans="1:18" x14ac:dyDescent="0.15">
      <c r="A6" s="1" t="s">
        <v>11</v>
      </c>
      <c r="B6">
        <v>0.81456582633053221</v>
      </c>
      <c r="C6">
        <v>0.56855742296918765</v>
      </c>
      <c r="D6">
        <v>0.52927170868347329</v>
      </c>
      <c r="E6">
        <v>0.7492296918767507</v>
      </c>
      <c r="F6">
        <v>0.7492296918767507</v>
      </c>
      <c r="G6">
        <v>0.44357142857142862</v>
      </c>
      <c r="H6">
        <v>0.51851540616246494</v>
      </c>
      <c r="I6">
        <f t="shared" si="0"/>
        <v>1</v>
      </c>
    </row>
    <row r="7" spans="1:18" x14ac:dyDescent="0.15">
      <c r="A7" s="1" t="s">
        <v>12</v>
      </c>
      <c r="B7">
        <v>0.77149999999999996</v>
      </c>
      <c r="C7">
        <v>0.24149999999999999</v>
      </c>
      <c r="D7">
        <v>0.25149999999999989</v>
      </c>
      <c r="E7">
        <v>0.43550000000000011</v>
      </c>
      <c r="F7">
        <v>0.43550000000000011</v>
      </c>
      <c r="G7">
        <v>0.30549999999999988</v>
      </c>
      <c r="H7">
        <v>0.28599999999999998</v>
      </c>
      <c r="I7">
        <f t="shared" si="0"/>
        <v>0.13</v>
      </c>
    </row>
    <row r="8" spans="1:18" x14ac:dyDescent="0.15">
      <c r="A8" s="1" t="s">
        <v>13</v>
      </c>
      <c r="B8">
        <v>0.55100000000000005</v>
      </c>
      <c r="C8">
        <v>0.18</v>
      </c>
      <c r="D8">
        <v>0.1835</v>
      </c>
      <c r="E8">
        <v>0.20949999999999999</v>
      </c>
      <c r="F8">
        <v>0.20949999999999999</v>
      </c>
      <c r="G8">
        <v>0.11700000000000001</v>
      </c>
      <c r="H8">
        <v>0.1885</v>
      </c>
      <c r="I8">
        <f t="shared" si="0"/>
        <v>8.5000000000000006E-2</v>
      </c>
    </row>
    <row r="9" spans="1:18" x14ac:dyDescent="0.15">
      <c r="A9" s="1" t="s">
        <v>14</v>
      </c>
      <c r="B9">
        <v>0.1903846153846154</v>
      </c>
      <c r="C9">
        <v>0.14743589743589741</v>
      </c>
      <c r="D9">
        <v>5.3846153846153842E-2</v>
      </c>
      <c r="E9">
        <v>0.43076923076923068</v>
      </c>
      <c r="F9">
        <v>0.12564102564102561</v>
      </c>
      <c r="G9">
        <v>0.1717948717948718</v>
      </c>
      <c r="H9">
        <v>0.1230769230769231</v>
      </c>
      <c r="I9">
        <f t="shared" si="0"/>
        <v>3.2051282051282048E-2</v>
      </c>
      <c r="O9" s="2" t="s">
        <v>34</v>
      </c>
      <c r="P9" s="2" t="s">
        <v>35</v>
      </c>
      <c r="Q9" s="2" t="s">
        <v>36</v>
      </c>
      <c r="R9" s="2" t="s">
        <v>37</v>
      </c>
    </row>
    <row r="10" spans="1:18" x14ac:dyDescent="0.15">
      <c r="A10" s="1" t="s">
        <v>15</v>
      </c>
      <c r="B10">
        <v>0.7857142857142857</v>
      </c>
      <c r="C10">
        <v>0.34761904761904761</v>
      </c>
      <c r="D10">
        <v>0.31428571428571428</v>
      </c>
      <c r="E10">
        <v>0.41428571428571431</v>
      </c>
      <c r="F10">
        <v>0.41428571428571431</v>
      </c>
      <c r="G10">
        <v>0.22380952380952379</v>
      </c>
      <c r="H10">
        <v>0.30952380952380948</v>
      </c>
      <c r="I10">
        <f t="shared" si="0"/>
        <v>0.42857142857142849</v>
      </c>
      <c r="N10" s="2" t="s">
        <v>11</v>
      </c>
      <c r="O10">
        <v>1</v>
      </c>
      <c r="P10">
        <v>1</v>
      </c>
      <c r="Q10">
        <v>1</v>
      </c>
      <c r="R10">
        <v>0.98412698412698407</v>
      </c>
    </row>
    <row r="11" spans="1:18" x14ac:dyDescent="0.15">
      <c r="A11" s="1" t="s">
        <v>16</v>
      </c>
      <c r="B11">
        <v>0.90545454545454551</v>
      </c>
      <c r="C11">
        <v>0.7681818181818183</v>
      </c>
      <c r="D11">
        <v>0.80727272727272736</v>
      </c>
      <c r="E11">
        <v>0.82545454545454555</v>
      </c>
      <c r="F11">
        <v>0.71545454545454545</v>
      </c>
      <c r="G11">
        <v>0.33272727272727259</v>
      </c>
      <c r="H11">
        <v>0.75727272727272721</v>
      </c>
      <c r="I11">
        <f t="shared" si="0"/>
        <v>1</v>
      </c>
      <c r="N11" s="2" t="s">
        <v>12</v>
      </c>
      <c r="O11">
        <v>0.76500000000000001</v>
      </c>
      <c r="P11">
        <v>0.13</v>
      </c>
      <c r="Q11">
        <v>0.82</v>
      </c>
      <c r="R11">
        <v>0.77</v>
      </c>
    </row>
    <row r="12" spans="1:18" x14ac:dyDescent="0.15">
      <c r="A12" s="1" t="s">
        <v>17</v>
      </c>
      <c r="B12">
        <v>0.90454545454545465</v>
      </c>
      <c r="C12">
        <v>0.7936363636363637</v>
      </c>
      <c r="D12">
        <v>0.82363636363636383</v>
      </c>
      <c r="E12">
        <v>0.87363636363636366</v>
      </c>
      <c r="F12">
        <v>0.8545454545454545</v>
      </c>
      <c r="G12">
        <v>0.49909090909090909</v>
      </c>
      <c r="H12">
        <v>0.85363636363636375</v>
      </c>
      <c r="I12">
        <f t="shared" si="0"/>
        <v>0.9</v>
      </c>
      <c r="N12" s="2" t="s">
        <v>13</v>
      </c>
      <c r="O12">
        <v>0.32500000000000001</v>
      </c>
      <c r="P12">
        <v>8.5000000000000006E-2</v>
      </c>
      <c r="Q12">
        <v>0.72</v>
      </c>
      <c r="R12">
        <v>0.73</v>
      </c>
    </row>
    <row r="13" spans="1:18" x14ac:dyDescent="0.15">
      <c r="A13" s="1" t="s">
        <v>18</v>
      </c>
      <c r="B13">
        <v>0.54934640522875822</v>
      </c>
      <c r="C13">
        <v>0.51993464052287575</v>
      </c>
      <c r="D13">
        <v>0.54346405228758177</v>
      </c>
      <c r="E13">
        <v>0.5022875816993464</v>
      </c>
      <c r="F13">
        <v>0.49052287581699339</v>
      </c>
      <c r="G13">
        <v>0.4264705882352941</v>
      </c>
      <c r="H13">
        <v>0.45522875816993458</v>
      </c>
      <c r="I13">
        <f t="shared" si="0"/>
        <v>0.61111111111111116</v>
      </c>
      <c r="N13" s="2" t="s">
        <v>23</v>
      </c>
      <c r="O13">
        <v>0.8125</v>
      </c>
      <c r="P13">
        <v>0.5</v>
      </c>
      <c r="Q13">
        <v>0.8125</v>
      </c>
      <c r="R13">
        <v>0.8125</v>
      </c>
    </row>
    <row r="14" spans="1:18" x14ac:dyDescent="0.15">
      <c r="A14" s="1" t="s">
        <v>19</v>
      </c>
      <c r="B14">
        <v>0.80999999999999994</v>
      </c>
      <c r="C14">
        <v>0.6100000000000001</v>
      </c>
      <c r="D14">
        <v>0.57000000000000006</v>
      </c>
      <c r="E14">
        <v>0.47</v>
      </c>
      <c r="F14">
        <v>0.67</v>
      </c>
      <c r="G14">
        <v>0.4</v>
      </c>
      <c r="H14">
        <v>0.59</v>
      </c>
      <c r="I14">
        <f t="shared" si="0"/>
        <v>0.8</v>
      </c>
      <c r="N14" s="2" t="s">
        <v>16</v>
      </c>
      <c r="O14">
        <v>0.63636363636363635</v>
      </c>
      <c r="P14">
        <v>1</v>
      </c>
      <c r="Q14">
        <v>1</v>
      </c>
      <c r="R14">
        <v>1</v>
      </c>
    </row>
    <row r="15" spans="1:18" x14ac:dyDescent="0.15">
      <c r="A15" s="1" t="s">
        <v>20</v>
      </c>
      <c r="B15">
        <v>0.60227272727272729</v>
      </c>
      <c r="C15">
        <v>0.56818181818181812</v>
      </c>
      <c r="D15">
        <v>0.53939393939393931</v>
      </c>
      <c r="E15">
        <v>0.53181818181818175</v>
      </c>
      <c r="F15">
        <v>0.50378787878787878</v>
      </c>
      <c r="G15">
        <v>0.39772727272727282</v>
      </c>
      <c r="H15">
        <v>0.55909090909090919</v>
      </c>
      <c r="I15">
        <f t="shared" si="0"/>
        <v>0.66666666666666663</v>
      </c>
      <c r="N15" s="2" t="s">
        <v>14</v>
      </c>
      <c r="O15">
        <v>0.26923076923076922</v>
      </c>
      <c r="P15">
        <v>3.2051282051282048E-2</v>
      </c>
      <c r="Q15">
        <v>0.53205128205128205</v>
      </c>
      <c r="R15">
        <v>0.48076923076923078</v>
      </c>
    </row>
    <row r="16" spans="1:18" x14ac:dyDescent="0.15">
      <c r="A16" s="1" t="s">
        <v>21</v>
      </c>
      <c r="B16">
        <v>0.89500000000000013</v>
      </c>
      <c r="C16">
        <v>0.53916666666666679</v>
      </c>
      <c r="D16">
        <v>0.71766666666666667</v>
      </c>
      <c r="E16">
        <v>0.57700000000000007</v>
      </c>
      <c r="F16">
        <v>0.57700000000000007</v>
      </c>
      <c r="G16">
        <v>0.1298333333333333</v>
      </c>
      <c r="H16">
        <v>0.44816666666666671</v>
      </c>
      <c r="I16">
        <f t="shared" si="0"/>
        <v>0.97872340425531912</v>
      </c>
      <c r="N16" s="2" t="s">
        <v>7</v>
      </c>
      <c r="O16">
        <v>0.65671641791044777</v>
      </c>
      <c r="P16">
        <v>0.95522388059701491</v>
      </c>
      <c r="Q16">
        <v>0.97014925373134331</v>
      </c>
      <c r="R16">
        <v>0.95522388059701491</v>
      </c>
    </row>
    <row r="17" spans="1:18" x14ac:dyDescent="0.15">
      <c r="A17" s="1" t="s">
        <v>22</v>
      </c>
      <c r="B17">
        <v>0.63652482269503541</v>
      </c>
      <c r="C17">
        <v>0.56458333333333333</v>
      </c>
      <c r="D17">
        <v>0.61085992907801423</v>
      </c>
      <c r="E17">
        <v>0.69720744680851054</v>
      </c>
      <c r="F17">
        <v>0.68674645390070921</v>
      </c>
      <c r="G17">
        <v>0.69299645390070919</v>
      </c>
      <c r="H17">
        <v>0.54171099290780145</v>
      </c>
      <c r="I17">
        <f t="shared" si="0"/>
        <v>0.86792452830188682</v>
      </c>
      <c r="N17" s="2" t="s">
        <v>38</v>
      </c>
      <c r="O17">
        <v>0.61111111111111116</v>
      </c>
      <c r="P17">
        <v>0.80555555555555558</v>
      </c>
      <c r="Q17">
        <v>0.80555555555555558</v>
      </c>
      <c r="R17">
        <v>0.80555555555555558</v>
      </c>
    </row>
    <row r="18" spans="1:18" x14ac:dyDescent="0.15">
      <c r="A18" s="1" t="s">
        <v>23</v>
      </c>
      <c r="B18">
        <v>0.50277777777777777</v>
      </c>
      <c r="C18">
        <v>0.4458333333333333</v>
      </c>
      <c r="D18">
        <v>0.48749999999999999</v>
      </c>
      <c r="E18">
        <v>0.45833333333333331</v>
      </c>
      <c r="F18">
        <v>0.69305555555555554</v>
      </c>
      <c r="G18">
        <v>0.30277777777777781</v>
      </c>
      <c r="H18">
        <v>0.53888888888888897</v>
      </c>
      <c r="I18">
        <f t="shared" si="0"/>
        <v>0.5</v>
      </c>
      <c r="N18" s="2" t="s">
        <v>22</v>
      </c>
      <c r="O18">
        <v>0.64150943396226412</v>
      </c>
      <c r="P18">
        <v>0.86792452830188682</v>
      </c>
      <c r="Q18">
        <v>0.86792452830188682</v>
      </c>
      <c r="R18">
        <v>0.86792452830188682</v>
      </c>
    </row>
    <row r="19" spans="1:18" x14ac:dyDescent="0.15">
      <c r="A19" s="1" t="s">
        <v>24</v>
      </c>
      <c r="B19">
        <v>0.49230769230769228</v>
      </c>
      <c r="C19">
        <v>0.36153846153846148</v>
      </c>
      <c r="D19">
        <v>0.3923076923076923</v>
      </c>
      <c r="E19">
        <v>0.43846153846153851</v>
      </c>
      <c r="F19">
        <v>0.36153846153846159</v>
      </c>
      <c r="G19">
        <v>0.23076923076923081</v>
      </c>
      <c r="H19">
        <v>0.41538461538461541</v>
      </c>
      <c r="I19">
        <f t="shared" si="0"/>
        <v>0.46153846153846162</v>
      </c>
      <c r="N19" s="2" t="s">
        <v>10</v>
      </c>
      <c r="O19">
        <v>0.85</v>
      </c>
      <c r="P19">
        <v>0.8666666666666667</v>
      </c>
      <c r="Q19">
        <v>0.93333333333333335</v>
      </c>
      <c r="R19">
        <v>0.93333333333333335</v>
      </c>
    </row>
    <row r="20" spans="1:18" x14ac:dyDescent="0.15">
      <c r="A20" s="1" t="s">
        <v>25</v>
      </c>
      <c r="B20">
        <v>0.48</v>
      </c>
      <c r="C20">
        <v>0.56000000000000005</v>
      </c>
      <c r="D20">
        <v>0.62</v>
      </c>
      <c r="E20">
        <v>0.54</v>
      </c>
      <c r="F20">
        <v>0.55999999999999994</v>
      </c>
      <c r="G20">
        <v>0.5</v>
      </c>
      <c r="H20">
        <v>0.5</v>
      </c>
      <c r="I20">
        <f t="shared" si="0"/>
        <v>0.83333333333333337</v>
      </c>
      <c r="N20" s="2" t="s">
        <v>8</v>
      </c>
      <c r="O20">
        <v>0.79487179487179482</v>
      </c>
      <c r="P20">
        <v>0.77712031558185402</v>
      </c>
      <c r="Q20">
        <v>0.82642998027613412</v>
      </c>
      <c r="R20">
        <v>0.82051282051282048</v>
      </c>
    </row>
    <row r="21" spans="1:18" x14ac:dyDescent="0.15">
      <c r="A21" s="1" t="s">
        <v>26</v>
      </c>
      <c r="B21">
        <v>0.72499999999999998</v>
      </c>
      <c r="C21">
        <v>0.68499999999999994</v>
      </c>
      <c r="D21">
        <v>0.69</v>
      </c>
      <c r="E21">
        <v>0.71500000000000008</v>
      </c>
      <c r="F21">
        <v>0.68</v>
      </c>
      <c r="G21">
        <v>0.70000000000000007</v>
      </c>
      <c r="H21">
        <v>0.69499999999999995</v>
      </c>
      <c r="I21">
        <f t="shared" si="0"/>
        <v>0.81818181818181823</v>
      </c>
      <c r="N21" s="2" t="s">
        <v>9</v>
      </c>
      <c r="O21">
        <v>0.94366197183098588</v>
      </c>
      <c r="P21">
        <v>0.92957746478873238</v>
      </c>
      <c r="Q21">
        <v>0.92957746478873238</v>
      </c>
      <c r="R21">
        <v>0.95774647887323938</v>
      </c>
    </row>
    <row r="22" spans="1:18" x14ac:dyDescent="0.15">
      <c r="A22" s="1" t="s">
        <v>27</v>
      </c>
      <c r="B22">
        <v>0.56750000000000012</v>
      </c>
      <c r="C22">
        <v>0.64049999999999985</v>
      </c>
      <c r="D22">
        <v>0.68250000000000011</v>
      </c>
      <c r="E22">
        <v>0.7569999999999999</v>
      </c>
      <c r="F22">
        <v>0.69599999999999995</v>
      </c>
      <c r="G22">
        <v>0.51049999999999995</v>
      </c>
      <c r="H22">
        <v>0.58200000000000007</v>
      </c>
      <c r="I22">
        <f t="shared" si="0"/>
        <v>0.52</v>
      </c>
      <c r="N22" s="2" t="s">
        <v>26</v>
      </c>
      <c r="O22">
        <v>0.68181818181818177</v>
      </c>
      <c r="P22">
        <v>0.81818181818181823</v>
      </c>
      <c r="Q22">
        <v>0.68181818181818177</v>
      </c>
      <c r="R22">
        <v>0.81818181818181823</v>
      </c>
    </row>
    <row r="23" spans="1:18" x14ac:dyDescent="0.15">
      <c r="A23" s="1" t="s">
        <v>28</v>
      </c>
      <c r="B23">
        <v>0.64861111111111103</v>
      </c>
      <c r="C23">
        <v>0.60416666666666663</v>
      </c>
      <c r="D23">
        <v>0.61527777777777781</v>
      </c>
      <c r="E23">
        <v>0.62777777777777777</v>
      </c>
      <c r="F23">
        <v>0.66111111111111109</v>
      </c>
      <c r="G23">
        <v>0.53055555555555556</v>
      </c>
      <c r="H23">
        <v>0.51527777777777772</v>
      </c>
      <c r="I23">
        <f t="shared" si="0"/>
        <v>0.375</v>
      </c>
      <c r="N23" s="2" t="s">
        <v>20</v>
      </c>
      <c r="O23">
        <v>0.73333333333333328</v>
      </c>
      <c r="P23">
        <v>0.66666666666666663</v>
      </c>
      <c r="Q23">
        <v>0.8666666666666667</v>
      </c>
      <c r="R23">
        <v>0.73333333333333328</v>
      </c>
    </row>
    <row r="24" spans="1:18" x14ac:dyDescent="0.15">
      <c r="A24" s="1" t="s">
        <v>29</v>
      </c>
      <c r="B24">
        <v>0.86904761904761896</v>
      </c>
      <c r="C24">
        <v>0.83571428571428574</v>
      </c>
      <c r="D24">
        <v>0.74285714285714277</v>
      </c>
      <c r="E24">
        <v>0.80476190476190479</v>
      </c>
      <c r="F24">
        <v>0.77142857142857146</v>
      </c>
      <c r="G24">
        <v>0.64047619047619042</v>
      </c>
      <c r="H24">
        <v>0.79285714285714282</v>
      </c>
      <c r="I24">
        <f t="shared" si="0"/>
        <v>0.83333333333333337</v>
      </c>
      <c r="N24" s="2" t="s">
        <v>25</v>
      </c>
      <c r="O24">
        <v>0.83333333333333337</v>
      </c>
      <c r="P24">
        <v>0.83333333333333337</v>
      </c>
      <c r="Q24">
        <v>0.83333333333333337</v>
      </c>
      <c r="R24">
        <v>0.83333333333333337</v>
      </c>
    </row>
    <row r="25" spans="1:18" x14ac:dyDescent="0.15">
      <c r="A25" s="1" t="s">
        <v>30</v>
      </c>
      <c r="B25">
        <v>0.56660897859096493</v>
      </c>
      <c r="C25">
        <v>0.43273931906064322</v>
      </c>
      <c r="D25">
        <v>0.45685513533905497</v>
      </c>
      <c r="E25">
        <v>0.47619871734414793</v>
      </c>
      <c r="F25">
        <v>0.47924125247571447</v>
      </c>
      <c r="G25">
        <v>0.40491276053947001</v>
      </c>
      <c r="H25">
        <v>0.45142035273035941</v>
      </c>
      <c r="I25">
        <f t="shared" si="0"/>
        <v>0.35652173913043478</v>
      </c>
      <c r="N25" s="2" t="s">
        <v>21</v>
      </c>
      <c r="O25">
        <v>0.91489361702127658</v>
      </c>
      <c r="P25">
        <v>0.97872340425531912</v>
      </c>
      <c r="Q25">
        <v>0.97872340425531912</v>
      </c>
      <c r="R25">
        <v>0.97872340425531912</v>
      </c>
    </row>
    <row r="26" spans="1:18" x14ac:dyDescent="0.15">
      <c r="A26" s="1" t="s">
        <v>31</v>
      </c>
      <c r="B26">
        <v>0.53228840125391852</v>
      </c>
      <c r="C26">
        <v>0.47272727272727272</v>
      </c>
      <c r="D26">
        <v>0.61849529780564272</v>
      </c>
      <c r="E26">
        <v>0.83072100313479624</v>
      </c>
      <c r="F26">
        <v>0.87178683385579936</v>
      </c>
      <c r="G26">
        <v>0.33416927899686522</v>
      </c>
      <c r="H26">
        <v>0.55485893416927901</v>
      </c>
      <c r="I26">
        <f t="shared" si="0"/>
        <v>0.2507836990595611</v>
      </c>
      <c r="N26" s="2" t="s">
        <v>19</v>
      </c>
      <c r="O26">
        <v>0.9</v>
      </c>
      <c r="P26">
        <v>0.8</v>
      </c>
      <c r="Q26">
        <v>1</v>
      </c>
      <c r="R26">
        <v>0.9</v>
      </c>
    </row>
    <row r="27" spans="1:18" x14ac:dyDescent="0.15">
      <c r="A27" s="1" t="s">
        <v>32</v>
      </c>
      <c r="B27">
        <v>0.62811163029120087</v>
      </c>
      <c r="C27">
        <v>0.71564145028686355</v>
      </c>
      <c r="D27">
        <v>0.64441848543995583</v>
      </c>
      <c r="E27">
        <v>0.90867983675400732</v>
      </c>
      <c r="F27">
        <v>0.86191123992034857</v>
      </c>
      <c r="G27">
        <v>0.40269907927682819</v>
      </c>
      <c r="H27">
        <v>0.73106208473807688</v>
      </c>
      <c r="I27">
        <f t="shared" si="0"/>
        <v>0.68867924528301883</v>
      </c>
      <c r="N27" s="2" t="s">
        <v>17</v>
      </c>
      <c r="O27">
        <v>0.9</v>
      </c>
      <c r="P27">
        <v>0.9</v>
      </c>
      <c r="Q27">
        <v>0.9</v>
      </c>
      <c r="R27">
        <v>0.9</v>
      </c>
    </row>
    <row r="28" spans="1:18" x14ac:dyDescent="0.15">
      <c r="A28" s="1" t="s">
        <v>33</v>
      </c>
      <c r="B28">
        <v>0.76</v>
      </c>
      <c r="C28">
        <v>0.70666666666666667</v>
      </c>
      <c r="D28">
        <v>0.71666666666666667</v>
      </c>
      <c r="E28">
        <v>0.71333333333333326</v>
      </c>
      <c r="F28">
        <v>0.72666666666666668</v>
      </c>
      <c r="G28">
        <v>0.51</v>
      </c>
      <c r="H28">
        <v>0.68333333333333335</v>
      </c>
      <c r="I28" t="e">
        <f t="shared" si="0"/>
        <v>#N/A</v>
      </c>
      <c r="N28" s="2" t="s">
        <v>18</v>
      </c>
      <c r="O28">
        <v>0.61111111111111116</v>
      </c>
      <c r="P28">
        <v>0.61111111111111116</v>
      </c>
      <c r="Q28">
        <v>0.72222222222222221</v>
      </c>
      <c r="R28">
        <v>0.77777777777777779</v>
      </c>
    </row>
    <row r="29" spans="1:18" x14ac:dyDescent="0.15">
      <c r="B29">
        <f>AVERAGE(RANK(B2,B2:I2,0),
RANK(B3,B3:I3,0),
RANK(B4,B4:I4,0),
RANK(B5,B5:I5,0),
RANK(B6,B6:I6,0),
RANK(B7,B7:I7,0),
RANK(B8,B8:I8,0),
RANK(B9,B9:I9,0),RANK(B10,B10:I10,0),
RANK(B11,B11:I11,0),
RANK(B12,B12:I12,0),
RANK(B13,B13:I13,0),
RANK(B14,B14:I14,0),
RANK(B15,B15:I15,0),
RANK(B16,B16:I16,0),
RANK(B17,B17:I17,0),
RANK(B18,B18:I18,0),RANK(B19,B19:I19,0),
RANK(B20,B20:I20,0),
RANK(B21,B21:I21,0),
RANK(B22,B22:I22,0),
RANK(B23,B23:I23,0),
RANK(B24,B24:I24,0),
RANK(B25,B25:I25,0),
RANK(B26,B26:I26,0),
RANK(B27,B27:I27,0))</f>
        <v>2.7307692307692308</v>
      </c>
      <c r="C29">
        <f>AVERAGE(
RANK(C2,C2:J2,0),
RANK(C3,C3:J3,0),
RANK(C4,C4:J4,0),
RANK(C5,C5:J5,0),
RANK(C6,C6:J6,0),
RANK(C7,C7:J7,0),
RANK(C8,C8:J8,0),RANK(C9,C9:J9,0),
RANK(C10,C10:J10,0),
RANK(C11,C11:J11,0),
RANK(C12,C12:J12,0),
RANK(C13,C13:J13,0),
RANK(C14,C14:J14,0),
RANK(C15,C15:J15,0),
RANK(C16,C16:J16,0),
RANK(C17,C17:J17,0),RANK(C18,C18:J18,0),
RANK(C19,C19:J19,0),
RANK(C20,C20:J20,0),
RANK(C21,C21:J21,0),
RANK(C22,C22:J22,0),
RANK(C23,C23:J23,0),
RANK(C24,C24:J24,0),
RANK(C25,C25:J25,0),
RANK(C26,C26:J26,0),RANK(C27,C27:J27,0))</f>
        <v>4.4230769230769234</v>
      </c>
      <c r="D29">
        <f t="shared" ref="C29:I29" si="1">AVERAGE(
RANK(D2,D2:K2,0),
RANK(D3,D3:K3,0),
RANK(D4,D4:K4,0),
RANK(D5,D5:K5,0),
RANK(D6,D6:K6,0),
RANK(D7,D7:K7,0),
RANK(D8,D8:K8,0),RANK(D9,D9:K9,0),
RANK(D10,D10:K10,0),
RANK(D11,D11:K11,0),
RANK(D12,D12:K12,0),
RANK(D13,D13:K13,0),
RANK(D14,D14:K14,0),
RANK(D15,D15:K15,0),
RANK(D16,D16:K16,0),
RANK(D17,D17:K17,0),RANK(D18,D18:K18,0),
RANK(D19,D19:K19,0),
RANK(D20,D20:K20,0),
RANK(D21,D21:K21,0),
RANK(D22,D22:K22,0),
RANK(D23,D23:K23,0),
RANK(D24,D24:K24,0),
RANK(D25,D25:K25,0),
RANK(D26,D26:K26,0),RANK(D27,D27:K27,0))</f>
        <v>3.8076923076923075</v>
      </c>
      <c r="E29">
        <f t="shared" si="1"/>
        <v>2</v>
      </c>
      <c r="F29">
        <f t="shared" si="1"/>
        <v>2.0384615384615383</v>
      </c>
      <c r="G29">
        <f t="shared" si="1"/>
        <v>2.4615384615384617</v>
      </c>
      <c r="H29">
        <f t="shared" si="1"/>
        <v>2.2692307692307692</v>
      </c>
      <c r="I29">
        <f t="shared" si="1"/>
        <v>1.7692307692307692</v>
      </c>
      <c r="N29" s="2" t="s">
        <v>24</v>
      </c>
      <c r="O29">
        <v>0.46153846153846162</v>
      </c>
      <c r="P29">
        <v>0.46153846153846162</v>
      </c>
      <c r="Q29">
        <v>1</v>
      </c>
      <c r="R29">
        <v>0.69230769230769229</v>
      </c>
    </row>
    <row r="30" spans="1:18" x14ac:dyDescent="0.15">
      <c r="B30">
        <f>AVERAGE(RANK(B2,B2:I2,0),
RANK(B3,B3:I3,0),
RANK(B4,B4:I4,0),
RANK(B5,B5:I5,0),
RANK(B6,B6:I6,0),
RANK(B7,B7:I7,0),
RANK(B8,B8:I8,0),
RANK(B9,B9:I9,0),RANK(B10,B10:I10,0),
RANK(B11,B11:I11,0),
RANK(B12,B12:I12,0),
RANK(B13,B13:I13,0),
RANK(B14,B14:I14,0),
RANK(B15,B15:I15,0),
RANK(B16,B16:I16,0),
RANK(B17,B17:I17,0),
RANK(B18,B18:I18,0),RANK(B19,B19:I19,0),
RANK(B20,B20:I20,0),
RANK(B21,B21:I21,0),
RANK(B22,B22:I22,0),
RANK(B23,B23:I23,0),
RANK(B24,B24:I24,0),
RANK(B25,B25:I25,0),
RANK(B26,B26:I26,0),
RANK(B27,B27:I27,0))</f>
        <v>2.7307692307692308</v>
      </c>
      <c r="C30">
        <f>AVERAGE(RANK(C2,B2:I2,0),
RANK(C3,B3:I3,0),
RANK(C4,B4:I4,0),
RANK(C5,B5:I5,0),
RANK(C6,B6:I6,0),
RANK(C7,B7:I7,0),
RANK(C8,B8:I8,0),
RANK(C9,B9:I9,0),RANK(C10,B10:I10,0),
RANK(C11,B11:I11,0),
RANK(C12,B12:I12,0),
RANK(C13,B13:I13,0),
RANK(C14,B14:I14,0),
RANK(C15,B15:I15,0),
RANK(C16,B16:I16,0),
RANK(C17,B17:I17,0),
RANK(C18,B18:I18,0),RANK(C19,B19:I19,0),
RANK(C20,B20:I20,0),
RANK(C21,B21:I21,0),
RANK(C22,B22:I22,0),
RANK(C23,B23:I23,0),
RANK(C24,B24:I24,0),
RANK(C25,B25:I25,0),
RANK(C26,B26:I26,0),
RANK(C27,B27:I27,0))</f>
        <v>5.2692307692307692</v>
      </c>
      <c r="D30">
        <f>AVERAGE(RANK(D2,B2:I2,0),
RANK(D3,B3:I3,0),
RANK(D4,B4:I4,0),
RANK(D5,B5:I5,0),
RANK(D6,B6:I6,0),
RANK(D7,B7:I7,0),
RANK(D8,B8:I8,0),
RANK(D9,B9:I9,0),RANK(D10,B10:I10,0),
RANK(D11,B11:I11,0),
RANK(D12,B12:I12,0),
RANK(D13,B13:I13,0),
RANK(D14,B14:I14,0),
RANK(D15,B15:I15,0),
RANK(D16,B16:I16,0),
RANK(D17,B17:I17,0),
RANK(D18,B18:I18,0),RANK(D19,B19:I19,0),
RANK(D20,B20:I20,0),
RANK(D21,B21:I21,0),
RANK(D22,B22:I22,0),
RANK(D23,B23:I23,0),
RANK(D24,B24:I24,0),
RANK(D25,B25:I25,0),
RANK(D26,B26:I26,0),
RANK(D27,B27:I27,0))</f>
        <v>4.9230769230769234</v>
      </c>
      <c r="E30">
        <f>AVERAGE(RANK(E2,B2:I2,0),
RANK(E3,B3:I3,0),
RANK(E4,B4:I4,0),
RANK(E5,B5:I5,0),
RANK(E6,B6:I6,0),
RANK(E7,B7:I7,0),
RANK(E8,B8:I8,0),
RANK(E9,B9:I9,0),RANK(E10,B10:I10,0),
RANK(E11,B11:I11,0),
RANK(E12,B12:I12,0),
RANK(E13,B13:I13,0),
RANK(E14,B14:I14,0),
RANK(E15,B15:I15,0),
RANK(E16,B16:I16,0),
RANK(E17,B17:I17,0),
RANK(E18,B18:I18,0),RANK(E19,B19:I19,0),
RANK(E20,B20:I20,0),
RANK(E21,B21:I21,0),
RANK(E22,B22:I22,0),
RANK(E23,B23:I23,0),
RANK(E24,B24:I24,0),
RANK(E25,B25:I25,0),
RANK(E26,B26:I26,0),
RANK(E27,B27:I27,0))</f>
        <v>3.1538461538461537</v>
      </c>
      <c r="F30">
        <f>AVERAGE(
RANK(F2,B2:I2,0),
RANK(F3,B3:I3,0),
RANK(F4,B4:I4,0),
RANK(F5,B5:I5,0),
RANK(F6,B6:I6,0),
RANK(F7,B7:I7,0),
RANK(F8,B8:I8,0),
RANK(F9,B9:I9,0),
RANK(F10,B10:I10,0),
RANK(F11,B11:I11,0),
RANK(F12,B12:I12,0),
RANK(F13,B13:I13,0),
RANK(F14,B14:I14,0),
RANK(F15,B15:I15,0),
RANK(F16,B16:I16,0),
RANK(F17,B17:I17,0),
RANK(F18,B18:I18,0),
RANK(F19,B19:I19,0),
RANK(F20,B20:I20,0),
RANK(F21,B21:I21,0),
RANK(F22,B22:I22,0),
RANK(F23,B23:I23,0),
RANK(F24,B24:I24,0),
RANK(F25,B25:I25,0),
RANK(F26,B26:I26,0),
RANK(F27,B27:I27,0))</f>
        <v>3.8846153846153846</v>
      </c>
      <c r="G30">
        <f>AVERAGE(
RANK(G2,B2:I2,0),
RANK(G3,B3:I3,0),
RANK(G4,B4:I4,0),
RANK(G5,B5:I5,0),
RANK(G6,B6:I6,0),
RANK(G7,B7:I7,0),
RANK(G8,B8:I8,0),
RANK(G9,B9:I9,0),
RANK(G10,B10:I10,0),
RANK(G11,B11:I11,0),
RANK(G12,B12:I12,0),
RANK(G13,B13:I13,0),
RANK(G14,B14:I14,0),
RANK(G15,B15:I15,0),
RANK(G16,B16:I16,0),
RANK(G17,B17:I17,0),
RANK(G18,B18:I18,0),
RANK(G19,B19:I19,0),
RANK(G20,B20:I20,0),
RANK(G21,B21:I21,0),
RANK(G22,B22:I22,0),
RANK(G23,B23:I23,0),
RANK(G24,B24:I24,0),
RANK(G25,B25:I25,0),
RANK(G26,B26:I26,0),
RANK(G27,B27:I27,0))</f>
        <v>6.884615384615385</v>
      </c>
      <c r="H30">
        <f>AVERAGE(
RANK(H2,B2:I2,0),
RANK(H3,B3:I3,0),
RANK(H4,B4:I4,0),
RANK(H5,B5:I5,0),
RANK(H6,B6:I6,0),
RANK(H7,B7:I7,0),
RANK(H8,B8:I8,0),
RANK(H9,B9:I9,0),
RANK(H10,B10:I10,0),
RANK(H11,B11:I11,0),
RANK(H12,B12:I12,0),
RANK(H13,B13:I13,0),
RANK(H14,B14:I14,0),
RANK(H15,B15:I15,0),
RANK(H16,B16:I16,0),
RANK(H17,B17:I17,0),
RANK(H18,B18:I18,0),
RANK(H19,B19:I19,0),
RANK(H20,B20:I20,0),
RANK(H21,B21:I21,0),
RANK(H22,B22:I22,0),
RANK(H23,B23:I23,0),
RANK(H24,B24:I24,0),
RANK(H25,B25:I25,0),
RANK(H26,B26:I26,0),
RANK(H27,B27:I27,0))</f>
        <v>5.4615384615384617</v>
      </c>
      <c r="I30">
        <f>AVERAGE(
RANK(I2,B2:I2,0),
RANK(I3,B3:I3,0),
RANK(I4,B4:I4,0),
RANK(I5,B5:I5,0),
RANK(I6,B6:I6,0),
RANK(I7,B7:I7,0),
RANK(I8,B8:I8,0),
RANK(I9,B9:I9,0),
RANK(I10,B10:I10,0),
RANK(I11,B11:I11,0),
RANK(I12,B12:I12,0),
RANK(I13,B13:I13,0),
RANK(I14,B14:I14,0),
RANK(I15,B15:I15,0),
RANK(I16,B16:I16,0),
RANK(I17,B17:I17,0),
RANK(I18,B18:I18,0),
RANK(I19,B19:I19,0),
RANK(I20,B20:I20,0),
RANK(I21,B21:I21,0),
RANK(I22,B22:I22,0),
RANK(I23,B23:I23,0),
RANK(I24,B24:I24,0),
RANK(I25,B25:I25,0),
RANK(I26,B26:I26,0),
RANK(I27,B27:I27,0))</f>
        <v>3.4230769230769229</v>
      </c>
      <c r="N30" s="2" t="s">
        <v>15</v>
      </c>
      <c r="O30">
        <v>0.61904761904761907</v>
      </c>
      <c r="P30">
        <v>0.42857142857142849</v>
      </c>
      <c r="Q30">
        <v>0.90476190476190477</v>
      </c>
      <c r="R30">
        <v>0.80952380952380953</v>
      </c>
    </row>
    <row r="31" spans="1:18" x14ac:dyDescent="0.15">
      <c r="N31" s="1" t="s">
        <v>29</v>
      </c>
      <c r="O31">
        <v>1</v>
      </c>
      <c r="P31">
        <v>0.83333333333333337</v>
      </c>
      <c r="Q31">
        <v>0.83333333333333337</v>
      </c>
      <c r="R31">
        <v>0.83333333333333337</v>
      </c>
    </row>
    <row r="32" spans="1:18" x14ac:dyDescent="0.15">
      <c r="N32" s="1" t="s">
        <v>28</v>
      </c>
      <c r="O32">
        <v>0.5</v>
      </c>
      <c r="P32">
        <v>0.375</v>
      </c>
      <c r="Q32">
        <v>1</v>
      </c>
      <c r="R32">
        <v>0.875</v>
      </c>
    </row>
    <row r="33" spans="14:18" x14ac:dyDescent="0.15">
      <c r="N33" s="1" t="s">
        <v>27</v>
      </c>
      <c r="O33">
        <v>0.56000000000000005</v>
      </c>
      <c r="P33">
        <v>0.52</v>
      </c>
      <c r="Q33">
        <v>0.58499999999999996</v>
      </c>
      <c r="R33">
        <v>0.56000000000000005</v>
      </c>
    </row>
    <row r="34" spans="14:18" x14ac:dyDescent="0.15">
      <c r="N34" s="1" t="s">
        <v>30</v>
      </c>
      <c r="O34">
        <v>0.66956521739130437</v>
      </c>
      <c r="P34">
        <v>0.35652173913043478</v>
      </c>
      <c r="Q34">
        <v>0.67173913043478262</v>
      </c>
      <c r="R34">
        <v>0.67173913043478262</v>
      </c>
    </row>
    <row r="35" spans="14:18" x14ac:dyDescent="0.15">
      <c r="N35" s="1" t="s">
        <v>31</v>
      </c>
      <c r="O35">
        <v>0.74294670846394995</v>
      </c>
      <c r="P35">
        <v>0.2507836990595611</v>
      </c>
      <c r="Q35">
        <v>0.7492163009404389</v>
      </c>
      <c r="R35">
        <v>0.71159874608150475</v>
      </c>
    </row>
    <row r="36" spans="14:18" x14ac:dyDescent="0.15">
      <c r="N36" s="1" t="s">
        <v>32</v>
      </c>
      <c r="O36">
        <v>0.75786163522012573</v>
      </c>
      <c r="P36">
        <v>0.68867924528301883</v>
      </c>
      <c r="Q36">
        <v>0.73584905660377353</v>
      </c>
      <c r="R36">
        <v>0.64779874213836475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2025-05-11T11:53:22Z</dcterms:created>
  <dcterms:modified xsi:type="dcterms:W3CDTF">2025-06-01T09:11:43Z</dcterms:modified>
</cp:coreProperties>
</file>