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11study\Features\tables\"/>
    </mc:Choice>
  </mc:AlternateContent>
  <xr:revisionPtr revIDLastSave="0" documentId="13_ncr:1_{3E432709-1CF3-4700-BA74-F3F32B66D824}" xr6:coauthVersionLast="47" xr6:coauthVersionMax="47" xr10:uidLastSave="{00000000-0000-0000-0000-000000000000}"/>
  <bookViews>
    <workbookView xWindow="13710" yWindow="4050" windowWidth="27030" windowHeight="157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H30" i="1"/>
  <c r="G30" i="1"/>
  <c r="F30" i="1"/>
  <c r="E30" i="1"/>
  <c r="D30" i="1"/>
  <c r="C30" i="1"/>
  <c r="B30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6" i="1"/>
  <c r="I5" i="1"/>
  <c r="I4" i="1"/>
  <c r="I3" i="1"/>
  <c r="I2" i="1"/>
  <c r="I28" i="1" l="1"/>
</calcChain>
</file>

<file path=xl/sharedStrings.xml><?xml version="1.0" encoding="utf-8"?>
<sst xmlns="http://schemas.openxmlformats.org/spreadsheetml/2006/main" count="65" uniqueCount="39">
  <si>
    <t>EAMB</t>
  </si>
  <si>
    <t>IAMB</t>
  </si>
  <si>
    <t>Inter-IAMB</t>
  </si>
  <si>
    <t>LRH</t>
  </si>
  <si>
    <t>Fast-IAMB</t>
  </si>
  <si>
    <t>GSMB</t>
  </si>
  <si>
    <t>FBED</t>
  </si>
  <si>
    <t>Dermatology</t>
  </si>
  <si>
    <t>Waveform</t>
  </si>
  <si>
    <t>Wdbc</t>
  </si>
  <si>
    <t>Synthetic_control</t>
  </si>
  <si>
    <t>Authorship</t>
  </si>
  <si>
    <t>Factors</t>
  </si>
  <si>
    <t>Pixel</t>
  </si>
  <si>
    <t>Isolet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</si>
  <si>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</si>
  <si>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</si>
  <si>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</si>
  <si>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</si>
  <si>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</si>
  <si>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</si>
  <si>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</si>
  <si>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</si>
  <si>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</si>
  <si>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WarpAR10P</t>
  </si>
  <si>
    <t>GLIOMA</t>
  </si>
  <si>
    <t>Arcene</t>
  </si>
  <si>
    <t>madelon</t>
  </si>
  <si>
    <t>SRBCT</t>
  </si>
  <si>
    <t>Colon</t>
  </si>
  <si>
    <t>spambase</t>
  </si>
  <si>
    <t>splice</t>
  </si>
  <si>
    <t>dna</t>
  </si>
  <si>
    <t>dexter</t>
  </si>
  <si>
    <t>b</t>
  </si>
  <si>
    <t>k</t>
  </si>
  <si>
    <t>s</t>
  </si>
  <si>
    <t>r</t>
  </si>
  <si>
    <t>Movement_libras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</si>
</sst>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workbookViewId="0">
      <selection activeCell="N4" sqref="N4"/>
    </sheetView>
  </sheetViews>
  <sheetFormatPr defaultRowHeight="13.5" x14ac:dyDescent="0.15"/>
  <sheetData>
    <row r="1" spans="1:18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8" x14ac:dyDescent="0.15">
      <c r="A2" s="1" t="s">
        <v>7</v>
      </c>
      <c r="B2">
        <v>0.89654654654654653</v>
      </c>
      <c r="C2">
        <v>0.75442942942942948</v>
      </c>
      <c r="D2">
        <v>0.64219219219219226</v>
      </c>
      <c r="E2">
        <v>0.85578078078078068</v>
      </c>
      <c r="F2">
        <v>0.62905405405405412</v>
      </c>
      <c r="G2">
        <v>0.70503003003003006</v>
      </c>
      <c r="H2">
        <v>0.71539039039039032</v>
      </c>
      <c r="I2">
        <f>VLOOKUP(A2,N:R,3,0)</f>
        <v>0.95522388059701491</v>
      </c>
    </row>
    <row r="3" spans="1:18" x14ac:dyDescent="0.15">
      <c r="A3" s="1" t="s">
        <v>8</v>
      </c>
      <c r="B3">
        <v>0.54779999999999995</v>
      </c>
      <c r="C3">
        <v>0.65859999999999996</v>
      </c>
      <c r="D3">
        <v>0.67799999999999994</v>
      </c>
      <c r="E3">
        <v>0.73439999999999994</v>
      </c>
      <c r="F3">
        <v>0.68620000000000003</v>
      </c>
      <c r="G3">
        <v>0.5</v>
      </c>
      <c r="H3">
        <v>0.68540000000000001</v>
      </c>
      <c r="I3">
        <f>VLOOKUP(A3,N:R,3,0)</f>
        <v>0.77712031558185402</v>
      </c>
    </row>
    <row r="4" spans="1:18" x14ac:dyDescent="0.15">
      <c r="A4" s="1" t="s">
        <v>9</v>
      </c>
      <c r="B4">
        <v>0.93684210526315792</v>
      </c>
      <c r="C4">
        <v>0.93323934837092737</v>
      </c>
      <c r="D4">
        <v>0.93677944862155371</v>
      </c>
      <c r="E4">
        <v>0.95438596491228067</v>
      </c>
      <c r="F4">
        <v>0.93674812030075183</v>
      </c>
      <c r="G4">
        <v>0.89981203007518784</v>
      </c>
      <c r="H4">
        <v>0.90159774436090223</v>
      </c>
      <c r="I4">
        <f>VLOOKUP(A4,N:R,3,0)</f>
        <v>0.92957746478873238</v>
      </c>
    </row>
    <row r="5" spans="1:18" x14ac:dyDescent="0.15">
      <c r="A5" s="1" t="s">
        <v>10</v>
      </c>
      <c r="B5">
        <v>0.88333333333333319</v>
      </c>
      <c r="C5">
        <v>0.67</v>
      </c>
      <c r="D5">
        <v>0.69833333333333336</v>
      </c>
      <c r="E5">
        <v>0.69499999999999995</v>
      </c>
      <c r="F5">
        <v>0.69000000000000006</v>
      </c>
      <c r="G5">
        <v>0.36499999999999999</v>
      </c>
      <c r="H5">
        <v>0.66166666666666674</v>
      </c>
      <c r="I5">
        <f>VLOOKUP(A5,N:R,3,0)</f>
        <v>0.8666666666666667</v>
      </c>
    </row>
    <row r="6" spans="1:18" x14ac:dyDescent="0.15">
      <c r="A6" s="1" t="s">
        <v>11</v>
      </c>
      <c r="B6">
        <v>0.85857142857142854</v>
      </c>
      <c r="C6">
        <v>0.77997198879551821</v>
      </c>
      <c r="D6">
        <v>0.83592436974789908</v>
      </c>
      <c r="E6">
        <v>0.87161064425770307</v>
      </c>
      <c r="F6">
        <v>0.87161064425770307</v>
      </c>
      <c r="G6">
        <v>0.5124369747899159</v>
      </c>
      <c r="H6">
        <v>0.7395518207282914</v>
      </c>
      <c r="I6">
        <f>VLOOKUP(A6,N:R,3,0)</f>
        <v>1</v>
      </c>
    </row>
    <row r="7" spans="1:18" x14ac:dyDescent="0.15">
      <c r="A7" s="1" t="s">
        <v>12</v>
      </c>
      <c r="B7">
        <v>0.80950000000000011</v>
      </c>
      <c r="C7">
        <v>0.49499999999999988</v>
      </c>
      <c r="D7">
        <v>0.54249999999999987</v>
      </c>
      <c r="E7">
        <v>0.60249999999999981</v>
      </c>
      <c r="F7">
        <v>0.60299999999999998</v>
      </c>
      <c r="G7">
        <v>0.53249999999999997</v>
      </c>
      <c r="H7">
        <v>0.53799999999999992</v>
      </c>
      <c r="I7">
        <f t="shared" ref="I7:I27" si="0">VLOOKUP(A7,N:R,3,0)</f>
        <v>0.13</v>
      </c>
    </row>
    <row r="8" spans="1:18" x14ac:dyDescent="0.15">
      <c r="A8" s="1" t="s">
        <v>13</v>
      </c>
      <c r="B8">
        <v>0.59099999999999997</v>
      </c>
      <c r="C8">
        <v>0.30499999999999999</v>
      </c>
      <c r="D8">
        <v>0.375</v>
      </c>
      <c r="E8">
        <v>0.2485</v>
      </c>
      <c r="F8">
        <v>0.2485</v>
      </c>
      <c r="G8">
        <v>0.20949999999999999</v>
      </c>
      <c r="H8">
        <v>0.32150000000000001</v>
      </c>
      <c r="I8">
        <f t="shared" si="0"/>
        <v>8.5000000000000006E-2</v>
      </c>
    </row>
    <row r="9" spans="1:18" x14ac:dyDescent="0.15">
      <c r="A9" s="1" t="s">
        <v>14</v>
      </c>
      <c r="B9">
        <v>0.22435897435897439</v>
      </c>
      <c r="C9">
        <v>0.20128205128205129</v>
      </c>
      <c r="D9">
        <v>9.2307692307692299E-2</v>
      </c>
      <c r="E9">
        <v>0.51217948717948725</v>
      </c>
      <c r="F9">
        <v>0.17948717948717949</v>
      </c>
      <c r="G9">
        <v>0.2108974358974359</v>
      </c>
      <c r="H9">
        <v>0.20705128205128201</v>
      </c>
      <c r="I9">
        <f t="shared" si="0"/>
        <v>3.2051282051282048E-2</v>
      </c>
    </row>
    <row r="10" spans="1:18" x14ac:dyDescent="0.15">
      <c r="A10" s="1" t="s">
        <v>15</v>
      </c>
      <c r="B10">
        <v>0.85238095238095224</v>
      </c>
      <c r="C10">
        <v>0.29523809523809519</v>
      </c>
      <c r="D10">
        <v>0.39523809523809522</v>
      </c>
      <c r="E10">
        <v>0.43333333333333329</v>
      </c>
      <c r="F10">
        <v>0.41904761904761911</v>
      </c>
      <c r="G10">
        <v>0.2095238095238095</v>
      </c>
      <c r="H10">
        <v>0.37142857142857139</v>
      </c>
      <c r="I10">
        <f t="shared" si="0"/>
        <v>0.42857142857142849</v>
      </c>
      <c r="O10" s="2" t="s">
        <v>34</v>
      </c>
      <c r="P10" s="2" t="s">
        <v>35</v>
      </c>
      <c r="Q10" s="2" t="s">
        <v>36</v>
      </c>
      <c r="R10" s="2" t="s">
        <v>37</v>
      </c>
    </row>
    <row r="11" spans="1:18" x14ac:dyDescent="0.15">
      <c r="A11" s="1" t="s">
        <v>16</v>
      </c>
      <c r="B11">
        <v>0.88454545454545452</v>
      </c>
      <c r="C11">
        <v>0.81727272727272737</v>
      </c>
      <c r="D11">
        <v>0.80636363636363639</v>
      </c>
      <c r="E11">
        <v>0.82545454545454544</v>
      </c>
      <c r="F11">
        <v>0.80636363636363639</v>
      </c>
      <c r="G11">
        <v>0.35454545454545461</v>
      </c>
      <c r="H11">
        <v>0.79636363636363638</v>
      </c>
      <c r="I11">
        <f t="shared" si="0"/>
        <v>1</v>
      </c>
      <c r="N11" s="2" t="s">
        <v>11</v>
      </c>
      <c r="O11">
        <v>1</v>
      </c>
      <c r="P11">
        <v>1</v>
      </c>
      <c r="Q11">
        <v>1</v>
      </c>
      <c r="R11">
        <v>0.98412698412698407</v>
      </c>
    </row>
    <row r="12" spans="1:18" x14ac:dyDescent="0.15">
      <c r="A12" s="1" t="s">
        <v>17</v>
      </c>
      <c r="B12">
        <v>0.87545454545454537</v>
      </c>
      <c r="C12">
        <v>0.79545454545454553</v>
      </c>
      <c r="D12">
        <v>0.77636363636363648</v>
      </c>
      <c r="E12">
        <v>0.87363636363636377</v>
      </c>
      <c r="F12">
        <v>0.81545454545454543</v>
      </c>
      <c r="G12">
        <v>0.62545454545454537</v>
      </c>
      <c r="H12">
        <v>0.85363636363636353</v>
      </c>
      <c r="I12">
        <f t="shared" si="0"/>
        <v>0.9</v>
      </c>
      <c r="N12" s="2" t="s">
        <v>12</v>
      </c>
      <c r="O12">
        <v>0.76500000000000001</v>
      </c>
      <c r="P12">
        <v>0.13</v>
      </c>
      <c r="Q12">
        <v>0.82</v>
      </c>
      <c r="R12">
        <v>0.77</v>
      </c>
    </row>
    <row r="13" spans="1:18" x14ac:dyDescent="0.15">
      <c r="A13" s="1" t="s">
        <v>18</v>
      </c>
      <c r="B13">
        <v>0.56143790849673203</v>
      </c>
      <c r="C13">
        <v>0.55751633986928106</v>
      </c>
      <c r="D13">
        <v>0.54313725490196074</v>
      </c>
      <c r="E13">
        <v>0.50261437908496731</v>
      </c>
      <c r="F13">
        <v>0.52647058823529413</v>
      </c>
      <c r="G13">
        <v>0.42254901960784308</v>
      </c>
      <c r="H13">
        <v>0.46339869281045748</v>
      </c>
      <c r="I13">
        <f t="shared" si="0"/>
        <v>0.61111111111111116</v>
      </c>
      <c r="N13" s="2" t="s">
        <v>13</v>
      </c>
      <c r="O13">
        <v>0.32500000000000001</v>
      </c>
      <c r="P13">
        <v>8.5000000000000006E-2</v>
      </c>
      <c r="Q13">
        <v>0.72</v>
      </c>
      <c r="R13">
        <v>0.73</v>
      </c>
    </row>
    <row r="14" spans="1:18" x14ac:dyDescent="0.15">
      <c r="A14" s="1" t="s">
        <v>19</v>
      </c>
      <c r="B14">
        <v>0.86</v>
      </c>
      <c r="C14">
        <v>0.57000000000000006</v>
      </c>
      <c r="D14">
        <v>0.61999999999999988</v>
      </c>
      <c r="E14">
        <v>0.32</v>
      </c>
      <c r="F14">
        <v>0.64999999999999991</v>
      </c>
      <c r="G14">
        <v>0.39</v>
      </c>
      <c r="H14">
        <v>0.57999999999999996</v>
      </c>
      <c r="I14">
        <f t="shared" si="0"/>
        <v>0.8</v>
      </c>
      <c r="N14" s="2" t="s">
        <v>23</v>
      </c>
      <c r="O14">
        <v>0.8125</v>
      </c>
      <c r="P14">
        <v>0.5</v>
      </c>
      <c r="Q14">
        <v>0.8125</v>
      </c>
      <c r="R14">
        <v>0.8125</v>
      </c>
    </row>
    <row r="15" spans="1:18" x14ac:dyDescent="0.15">
      <c r="A15" s="1" t="s">
        <v>20</v>
      </c>
      <c r="B15">
        <v>0.52954545454545454</v>
      </c>
      <c r="C15">
        <v>0.62196969696969706</v>
      </c>
      <c r="D15">
        <v>0.62196969696969695</v>
      </c>
      <c r="E15">
        <v>0.63257575757575757</v>
      </c>
      <c r="F15">
        <v>0.54621212121212126</v>
      </c>
      <c r="G15">
        <v>0.44090909090909092</v>
      </c>
      <c r="H15">
        <v>0.59393939393939399</v>
      </c>
      <c r="I15">
        <f t="shared" si="0"/>
        <v>0.66666666666666663</v>
      </c>
      <c r="N15" s="2" t="s">
        <v>16</v>
      </c>
      <c r="O15">
        <v>0.63636363636363635</v>
      </c>
      <c r="P15">
        <v>1</v>
      </c>
      <c r="Q15">
        <v>1</v>
      </c>
      <c r="R15">
        <v>1</v>
      </c>
    </row>
    <row r="16" spans="1:18" x14ac:dyDescent="0.15">
      <c r="A16" s="1" t="s">
        <v>21</v>
      </c>
      <c r="B16">
        <v>0.89883333333333315</v>
      </c>
      <c r="C16">
        <v>0.63666666666666671</v>
      </c>
      <c r="D16">
        <v>0.73750000000000004</v>
      </c>
      <c r="E16">
        <v>0.67316666666666658</v>
      </c>
      <c r="F16">
        <v>0.66083333333333338</v>
      </c>
      <c r="G16">
        <v>0.31733333333333341</v>
      </c>
      <c r="H16">
        <v>0.62516666666666676</v>
      </c>
      <c r="I16">
        <f t="shared" si="0"/>
        <v>0.97872340425531912</v>
      </c>
      <c r="N16" s="2" t="s">
        <v>14</v>
      </c>
      <c r="O16">
        <v>0.26923076923076922</v>
      </c>
      <c r="P16">
        <v>3.2051282051282048E-2</v>
      </c>
      <c r="Q16">
        <v>0.53205128205128205</v>
      </c>
      <c r="R16">
        <v>0.48076923076923078</v>
      </c>
    </row>
    <row r="17" spans="1:18" x14ac:dyDescent="0.15">
      <c r="A17" s="1" t="s">
        <v>22</v>
      </c>
      <c r="B17">
        <v>0.78767730496453903</v>
      </c>
      <c r="C17">
        <v>0.67198581560283688</v>
      </c>
      <c r="D17">
        <v>0.76640070921985815</v>
      </c>
      <c r="E17">
        <v>0.76232269503546102</v>
      </c>
      <c r="F17">
        <v>0.75647163120567362</v>
      </c>
      <c r="G17">
        <v>0.75815602836879425</v>
      </c>
      <c r="H17">
        <v>0.72655141843971627</v>
      </c>
      <c r="I17">
        <f t="shared" si="0"/>
        <v>0.86792452830188682</v>
      </c>
      <c r="N17" s="2" t="s">
        <v>7</v>
      </c>
      <c r="O17">
        <v>0.65671641791044777</v>
      </c>
      <c r="P17">
        <v>0.95522388059701491</v>
      </c>
      <c r="Q17">
        <v>0.97014925373134331</v>
      </c>
      <c r="R17">
        <v>0.95522388059701491</v>
      </c>
    </row>
    <row r="18" spans="1:18" x14ac:dyDescent="0.15">
      <c r="A18" s="1" t="s">
        <v>23</v>
      </c>
      <c r="B18">
        <v>0.52777777777777779</v>
      </c>
      <c r="C18">
        <v>0.63472222222222219</v>
      </c>
      <c r="D18">
        <v>0.60833333333333328</v>
      </c>
      <c r="E18">
        <v>0.55277777777777781</v>
      </c>
      <c r="F18">
        <v>0.71666666666666656</v>
      </c>
      <c r="G18">
        <v>0.34166666666666667</v>
      </c>
      <c r="H18">
        <v>0.58750000000000002</v>
      </c>
      <c r="I18">
        <f t="shared" si="0"/>
        <v>0.5</v>
      </c>
      <c r="N18" s="2" t="s">
        <v>38</v>
      </c>
      <c r="O18">
        <v>0.61111111111111116</v>
      </c>
      <c r="P18">
        <v>0.80555555555555558</v>
      </c>
      <c r="Q18">
        <v>0.80555555555555558</v>
      </c>
      <c r="R18">
        <v>0.80555555555555558</v>
      </c>
    </row>
    <row r="19" spans="1:18" x14ac:dyDescent="0.15">
      <c r="A19" s="1" t="s">
        <v>24</v>
      </c>
      <c r="B19">
        <v>0.50769230769230766</v>
      </c>
      <c r="C19">
        <v>0.48461538461538461</v>
      </c>
      <c r="D19">
        <v>0.53076923076923077</v>
      </c>
      <c r="E19">
        <v>0.54615384615384621</v>
      </c>
      <c r="F19">
        <v>0.45384615384615379</v>
      </c>
      <c r="G19">
        <v>0.188034188034188</v>
      </c>
      <c r="H19">
        <v>0.51538461538461544</v>
      </c>
      <c r="I19">
        <f t="shared" si="0"/>
        <v>0.46153846153846162</v>
      </c>
      <c r="N19" s="2" t="s">
        <v>22</v>
      </c>
      <c r="O19">
        <v>0.64150943396226412</v>
      </c>
      <c r="P19">
        <v>0.86792452830188682</v>
      </c>
      <c r="Q19">
        <v>0.86792452830188682</v>
      </c>
      <c r="R19">
        <v>0.86792452830188682</v>
      </c>
    </row>
    <row r="20" spans="1:18" x14ac:dyDescent="0.15">
      <c r="A20" s="1" t="s">
        <v>25</v>
      </c>
      <c r="B20">
        <v>0.52</v>
      </c>
      <c r="C20">
        <v>0.46000000000000008</v>
      </c>
      <c r="D20">
        <v>0.62</v>
      </c>
      <c r="E20">
        <v>0.62000000000000011</v>
      </c>
      <c r="F20">
        <v>0.5</v>
      </c>
      <c r="G20">
        <v>0.58000000000000007</v>
      </c>
      <c r="H20">
        <v>0.48</v>
      </c>
      <c r="I20">
        <f t="shared" si="0"/>
        <v>0.83333333333333337</v>
      </c>
      <c r="N20" s="2" t="s">
        <v>10</v>
      </c>
      <c r="O20">
        <v>0.85</v>
      </c>
      <c r="P20">
        <v>0.8666666666666667</v>
      </c>
      <c r="Q20">
        <v>0.93333333333333335</v>
      </c>
      <c r="R20">
        <v>0.93333333333333335</v>
      </c>
    </row>
    <row r="21" spans="1:18" x14ac:dyDescent="0.15">
      <c r="A21" s="1" t="s">
        <v>26</v>
      </c>
      <c r="B21">
        <v>0.72499999999999998</v>
      </c>
      <c r="C21">
        <v>0.7</v>
      </c>
      <c r="D21">
        <v>0.71</v>
      </c>
      <c r="E21">
        <v>0.72499999999999987</v>
      </c>
      <c r="F21">
        <v>0.69000000000000006</v>
      </c>
      <c r="G21">
        <v>0.69500000000000006</v>
      </c>
      <c r="H21">
        <v>0.66</v>
      </c>
      <c r="I21">
        <f t="shared" si="0"/>
        <v>0.81818181818181823</v>
      </c>
      <c r="N21" s="2" t="s">
        <v>8</v>
      </c>
      <c r="O21">
        <v>0.79487179487179482</v>
      </c>
      <c r="P21">
        <v>0.77712031558185402</v>
      </c>
      <c r="Q21">
        <v>0.82642998027613412</v>
      </c>
      <c r="R21">
        <v>0.82051282051282048</v>
      </c>
    </row>
    <row r="22" spans="1:18" x14ac:dyDescent="0.15">
      <c r="A22" s="1" t="s">
        <v>27</v>
      </c>
      <c r="B22">
        <v>0.58250000000000002</v>
      </c>
      <c r="C22">
        <v>0.66649999999999998</v>
      </c>
      <c r="D22">
        <v>0.70300000000000007</v>
      </c>
      <c r="E22">
        <v>0.77849999999999997</v>
      </c>
      <c r="F22">
        <v>0.72250000000000003</v>
      </c>
      <c r="G22">
        <v>0.50150000000000006</v>
      </c>
      <c r="H22">
        <v>0.61299999999999999</v>
      </c>
      <c r="I22">
        <f t="shared" si="0"/>
        <v>0.52</v>
      </c>
      <c r="N22" s="2" t="s">
        <v>9</v>
      </c>
      <c r="O22">
        <v>0.94366197183098588</v>
      </c>
      <c r="P22">
        <v>0.92957746478873238</v>
      </c>
      <c r="Q22">
        <v>0.92957746478873238</v>
      </c>
      <c r="R22">
        <v>0.95774647887323938</v>
      </c>
    </row>
    <row r="23" spans="1:18" x14ac:dyDescent="0.15">
      <c r="A23" s="1" t="s">
        <v>28</v>
      </c>
      <c r="B23">
        <v>0.66388888888888897</v>
      </c>
      <c r="C23">
        <v>0.67083333333333328</v>
      </c>
      <c r="D23">
        <v>0.625</v>
      </c>
      <c r="E23">
        <v>0.71250000000000002</v>
      </c>
      <c r="F23">
        <v>0.69861111111111107</v>
      </c>
      <c r="G23">
        <v>0.61527777777777781</v>
      </c>
      <c r="H23">
        <v>0.54166666666666663</v>
      </c>
      <c r="I23">
        <f t="shared" si="0"/>
        <v>0.375</v>
      </c>
      <c r="N23" s="2" t="s">
        <v>26</v>
      </c>
      <c r="O23">
        <v>0.68181818181818177</v>
      </c>
      <c r="P23">
        <v>0.81818181818181823</v>
      </c>
      <c r="Q23">
        <v>0.68181818181818177</v>
      </c>
      <c r="R23">
        <v>0.81818181818181823</v>
      </c>
    </row>
    <row r="24" spans="1:18" x14ac:dyDescent="0.15">
      <c r="A24" s="1" t="s">
        <v>29</v>
      </c>
      <c r="B24">
        <v>0.86904761904761896</v>
      </c>
      <c r="C24">
        <v>0.79047619047619044</v>
      </c>
      <c r="D24">
        <v>0.75714285714285701</v>
      </c>
      <c r="E24">
        <v>0.75714285714285701</v>
      </c>
      <c r="F24">
        <v>0.78571428571428559</v>
      </c>
      <c r="G24">
        <v>0.64047619047619053</v>
      </c>
      <c r="H24">
        <v>0.80714285714285716</v>
      </c>
      <c r="I24">
        <f t="shared" si="0"/>
        <v>0.83333333333333337</v>
      </c>
      <c r="N24" s="2" t="s">
        <v>20</v>
      </c>
      <c r="O24">
        <v>0.73333333333333328</v>
      </c>
      <c r="P24">
        <v>0.66666666666666663</v>
      </c>
      <c r="Q24">
        <v>0.8666666666666667</v>
      </c>
      <c r="R24">
        <v>0.73333333333333328</v>
      </c>
    </row>
    <row r="25" spans="1:18" x14ac:dyDescent="0.15">
      <c r="A25" s="1" t="s">
        <v>30</v>
      </c>
      <c r="B25">
        <v>0.75309487880788462</v>
      </c>
      <c r="C25">
        <v>0.67224228991794777</v>
      </c>
      <c r="D25">
        <v>0.68919881165707808</v>
      </c>
      <c r="E25">
        <v>0.71136753748938986</v>
      </c>
      <c r="F25">
        <v>0.71136753748938975</v>
      </c>
      <c r="G25">
        <v>0.64877440347071569</v>
      </c>
      <c r="H25">
        <v>0.66333113269829291</v>
      </c>
      <c r="I25">
        <f t="shared" si="0"/>
        <v>0.35652173913043478</v>
      </c>
      <c r="N25" s="2" t="s">
        <v>25</v>
      </c>
      <c r="O25">
        <v>0.83333333333333337</v>
      </c>
      <c r="P25">
        <v>0.83333333333333337</v>
      </c>
      <c r="Q25">
        <v>0.83333333333333337</v>
      </c>
      <c r="R25">
        <v>0.83333333333333337</v>
      </c>
    </row>
    <row r="26" spans="1:18" x14ac:dyDescent="0.15">
      <c r="A26" s="1" t="s">
        <v>31</v>
      </c>
      <c r="B26">
        <v>0.67868338557993724</v>
      </c>
      <c r="C26">
        <v>0.7059561128526648</v>
      </c>
      <c r="D26">
        <v>0.73510971786833856</v>
      </c>
      <c r="E26">
        <v>0.88213166144200628</v>
      </c>
      <c r="F26">
        <v>0.89247648902821319</v>
      </c>
      <c r="G26">
        <v>0.5087774294670846</v>
      </c>
      <c r="H26">
        <v>0.70156739811912217</v>
      </c>
      <c r="I26">
        <f t="shared" si="0"/>
        <v>0.2507836990595611</v>
      </c>
      <c r="N26" s="2" t="s">
        <v>21</v>
      </c>
      <c r="O26">
        <v>0.91489361702127658</v>
      </c>
      <c r="P26">
        <v>0.97872340425531912</v>
      </c>
      <c r="Q26">
        <v>0.97872340425531912</v>
      </c>
      <c r="R26">
        <v>0.97872340425531912</v>
      </c>
    </row>
    <row r="27" spans="1:18" x14ac:dyDescent="0.15">
      <c r="A27" s="1" t="s">
        <v>32</v>
      </c>
      <c r="B27">
        <v>0.66515250093649569</v>
      </c>
      <c r="C27">
        <v>0.77275487470672899</v>
      </c>
      <c r="D27">
        <v>0.70622030322745999</v>
      </c>
      <c r="E27">
        <v>0.92624356775300176</v>
      </c>
      <c r="F27">
        <v>0.87164389503361528</v>
      </c>
      <c r="G27">
        <v>0.50721298870290421</v>
      </c>
      <c r="H27">
        <v>0.76398138837956675</v>
      </c>
      <c r="I27">
        <f t="shared" si="0"/>
        <v>0.68867924528301883</v>
      </c>
      <c r="N27" s="2" t="s">
        <v>19</v>
      </c>
      <c r="O27">
        <v>0.9</v>
      </c>
      <c r="P27">
        <v>0.8</v>
      </c>
      <c r="Q27">
        <v>1</v>
      </c>
      <c r="R27">
        <v>0.9</v>
      </c>
    </row>
    <row r="28" spans="1:18" x14ac:dyDescent="0.15">
      <c r="A28" s="1" t="s">
        <v>33</v>
      </c>
      <c r="B28">
        <v>0.79666666666666663</v>
      </c>
      <c r="C28">
        <v>0.7</v>
      </c>
      <c r="D28">
        <v>0.71666666666666667</v>
      </c>
      <c r="E28">
        <v>0.70666666666666667</v>
      </c>
      <c r="F28">
        <v>0.73000000000000009</v>
      </c>
      <c r="G28">
        <v>0.65999999999999992</v>
      </c>
      <c r="H28">
        <v>0.67000000000000015</v>
      </c>
      <c r="I28" t="e">
        <f>AVERAGE(
RANK(I2,B2:I2,0),
RANK(I3,B3:I3,0),
RANK(I4,B4:I4,0),
RANK(I5,B5:I5,0),
RANK(I6,B6:I6,0),
RANK(I7,B7:I7,0),
RANK(I8,B8:I8,0),
RANK(I9,B9:I9,0),
RANK(#REF!,#REF!,0),
RANK(I10,B10:I10,0),
RANK(I11,B11:I11,0),
RANK(I12,B12:I12,0),
RANK(I13,B13:I13,0),
RANK(I14,B14:I14,0),
RANK(I15,B15:I15,0),
RANK(I16,B16:I16,0),
RANK(I17,B17:I17,0),
RANK(I18,B18:I18,0),
RANK(#REF!,#REF!,0),
RANK(I19,B19:I19,0),
RANK(I20,B20:I20,0),
RANK(I21,B21:I21,0),
RANK(I22,B22:I22,0),
RANK(I23,B23:I23,0),
RANK(I24,B24:I24,0),
RANK(I25,B25:I25,0))</f>
        <v>#REF!</v>
      </c>
      <c r="N28" s="2" t="s">
        <v>17</v>
      </c>
      <c r="O28">
        <v>0.9</v>
      </c>
      <c r="P28">
        <v>0.9</v>
      </c>
      <c r="Q28">
        <v>0.9</v>
      </c>
      <c r="R28">
        <v>0.9</v>
      </c>
    </row>
    <row r="29" spans="1:18" x14ac:dyDescent="0.15">
      <c r="N29" s="2" t="s">
        <v>18</v>
      </c>
      <c r="O29">
        <v>0.61111111111111116</v>
      </c>
      <c r="P29">
        <v>0.61111111111111116</v>
      </c>
      <c r="Q29">
        <v>0.72222222222222221</v>
      </c>
      <c r="R29">
        <v>0.77777777777777779</v>
      </c>
    </row>
    <row r="30" spans="1:18" x14ac:dyDescent="0.15">
      <c r="B30">
        <f>AVERAGE(RANK(B2,B2:I2,0),
RANK(B3,B3:I3,0),
RANK(B4,B4:I4,0),
RANK(B5,B5:I5,0),
RANK(B6,B6:I6,0),
RANK(B7,B7:I7,0),
RANK(B8,B8:I8,0),
RANK(B9,B9:I9,0),RANK(B10,B10:I10,0),
RANK(B11,B11:I11,0),
RANK(B12,B12:I12,0),
RANK(B13,B13:I13,0),
RANK(B14,B14:I14,0),
RANK(B15,B15:I15,0),
RANK(B16,B16:I16,0),
RANK(B17,B17:I17,0),
RANK(B18,B18:I18,0),RANK(B19,B19:I19,0),
RANK(B20,B20:I20,0),
RANK(B21,B21:I21,0),
RANK(B22,B22:I22,0),
RANK(B23,B23:I23,0),
RANK(B24,B24:I24,0),
RANK(B25,B25:I25,0),
RANK(B26,B26:I26,0),
RANK(B27,B27:I27,0))</f>
        <v>3.1153846153846154</v>
      </c>
      <c r="C30">
        <f>AVERAGE(RANK(C2,B2:I2,0),
RANK(C3,B3:I3,0),
RANK(C4,B4:I4,0),
RANK(C5,B5:I5,0),
RANK(C6,B6:I6,0),
RANK(C7,B7:I7,0),
RANK(C8,B8:I8,0),
RANK(C9,B9:I9,0),RANK(C10,B10:I10,0),
RANK(C11,B11:I11,0),
RANK(C12,B12:I12,0),
RANK(C13,B13:I13,0),
RANK(C14,B14:I14,0),
RANK(C15,B15:I15,0),
RANK(C16,B16:I16,0),
RANK(C17,B17:I17,0),
RANK(C18,B18:I18,0),RANK(C19,B19:I19,0),
RANK(C20,B20:I20,0),
RANK(C21,B21:I21,0),
RANK(C22,B22:I22,0),
RANK(C23,B23:I23,0),
RANK(C24,B24:I24,0),
RANK(C25,B25:I25,0),
RANK(C26,B26:I26,0),
RANK(C27,B27:I27,0))</f>
        <v>4.9615384615384617</v>
      </c>
      <c r="D30">
        <f>AVERAGE(RANK(D2,B2:I2,0),
RANK(D3,B3:I3,0),
RANK(D4,B4:I4,0),
RANK(D5,B5:I5,0),
RANK(D6,B6:I6,0),
RANK(D7,B7:I7,0),
RANK(D8,B8:I8,0),
RANK(D9,B9:I9,0),RANK(D10,B10:I10,0),
RANK(D11,B11:I11,0),
RANK(D12,B12:I12,0),
RANK(D13,B13:I13,0),
RANK(D14,B14:I14,0),
RANK(D15,B15:I15,0),
RANK(D16,B16:I16,0),
RANK(D17,B17:I17,0),
RANK(D18,B18:I18,0),RANK(D19,B19:I19,0),
RANK(D20,B20:I20,0),
RANK(D21,B21:I21,0),
RANK(D22,B22:I22,0),
RANK(D23,B23:I23,0),
RANK(D24,B24:I24,0),
RANK(D25,B25:I25,0),
RANK(D26,B26:I26,0),
RANK(D27,B27:I27,0))</f>
        <v>4.1923076923076925</v>
      </c>
      <c r="E30">
        <f>AVERAGE(RANK(E2,B2:I2,0),
RANK(E3,B3:I3,0),
RANK(E4,B4:I4,0),
RANK(E5,B5:I5,0),
RANK(E6,B6:I6,0),
RANK(E7,B7:I7,0),
RANK(E8,B8:I8,0),
RANK(E9,B9:I9,0),RANK(E10,B10:I10,0),
RANK(E11,B11:I11,0),
RANK(E12,B12:I12,0),
RANK(E13,B13:I13,0),
RANK(E14,B14:I14,0),
RANK(E15,B15:I15,0),
RANK(E16,B16:I16,0),
RANK(E17,B17:I17,0),
RANK(E18,B18:I18,0),RANK(E19,B19:I19,0),
RANK(E20,B20:I20,0),
RANK(E21,B21:I21,0),
RANK(E22,B22:I22,0),
RANK(E23,B23:I23,0),
RANK(E24,B24:I24,0),
RANK(E25,B25:I25,0),
RANK(E26,B26:I26,0),
RANK(E27,B27:I27,0))</f>
        <v>2.9615384615384617</v>
      </c>
      <c r="F30">
        <f>AVERAGE(
RANK(F2,B2:I2,0),
RANK(F3,B3:I3,0),
RANK(F4,B4:I4,0),
RANK(F5,B5:I5,0),
RANK(F6,B6:I6,0),
RANK(F7,B7:I7,0),
RANK(F8,B8:I8,0),
RANK(F9,B9:I9,0),
RANK(F10,B10:I10,0),
RANK(F11,B11:I11,0),
RANK(F12,B12:I12,0),
RANK(F13,B13:I13,0),
RANK(F14,B14:I14,0),
RANK(F15,B15:I15,0),
RANK(F16,B16:I16,0),
RANK(F17,B17:I17,0),
RANK(F18,B18:I18,0),
RANK(F19,B19:I19,0),
RANK(F20,B20:I20,0),
RANK(F21,B21:I21,0),
RANK(F22,B22:I22,0),
RANK(F23,B23:I23,0),
RANK(F24,B24:I24,0),
RANK(F25,B25:I25,0),
RANK(F26,B26:I26,0),
RANK(F27,B27:I27,0))</f>
        <v>4.2307692307692308</v>
      </c>
      <c r="G30">
        <f>AVERAGE(
RANK(G2,B2:I2,0),
RANK(G3,B3:I3,0),
RANK(G4,B4:I4,0),
RANK(G5,B5:I5,0),
RANK(G6,B6:I6,0),
RANK(G7,B7:I7,0),
RANK(G8,B8:I8,0),
RANK(G9,B9:I9,0),
RANK(G10,B10:I10,0),
RANK(G11,B11:I11,0),
RANK(G12,B12:I12,0),
RANK(G13,B13:I13,0),
RANK(G14,B14:I14,0),
RANK(G15,B15:I15,0),
RANK(G16,B16:I16,0),
RANK(G17,B17:I17,0),
RANK(G18,B18:I18,0),
RANK(G19,B19:I19,0),
RANK(G20,B20:I20,0),
RANK(G21,B21:I21,0),
RANK(G22,B22:I22,0),
RANK(G23,B23:I23,0),
RANK(G24,B24:I24,0),
RANK(G25,B25:I25,0),
RANK(G26,B26:I26,0),
RANK(G27,B27:I27,0))</f>
        <v>7.0769230769230766</v>
      </c>
      <c r="H30">
        <f>AVERAGE(
RANK(H2,B2:I2,0),
RANK(H3,B3:I3,0),
RANK(H4,B4:I4,0),
RANK(H5,B5:I5,0),
RANK(H6,B6:I6,0),
RANK(H7,B7:I7,0),
RANK(H8,B8:I8,0),
RANK(H9,B9:I9,0),
RANK(H10,B10:I10,0),
RANK(H11,B11:I11,0),
RANK(H12,B12:I12,0),
RANK(H13,B13:I13,0),
RANK(H14,B14:I14,0),
RANK(H15,B15:I15,0),
RANK(H16,B16:I16,0),
RANK(H17,B17:I17,0),
RANK(H18,B18:I18,0),
RANK(H19,B19:I19,0),
RANK(H20,B20:I20,0),
RANK(H21,B21:I21,0),
RANK(H22,B22:I22,0),
RANK(H23,B23:I23,0),
RANK(H24,B24:I24,0),
RANK(H25,B25:I25,0),
RANK(H26,B26:I26,0),
RANK(H27,B27:I27,0))</f>
        <v>5.4615384615384617</v>
      </c>
      <c r="I30">
        <f>AVERAGE(
RANK(I2,B2:I2,0),
RANK(I3,B3:I3,0),
RANK(I4,B4:I4,0),
RANK(I5,B5:I5,0),
RANK(I6,B6:I6,0),
RANK(I7,B7:I7,0),
RANK(I8,B8:I8,0),
RANK(I9,B9:I9,0),
RANK(I10,B10:I10,0),
RANK(I11,B11:I11,0),
RANK(I12,B12:I12,0),
RANK(I13,B13:I13,0),
RANK(I14,B14:I14,0),
RANK(I15,B15:I15,0),
RANK(I16,B16:I16,0),
RANK(I17,B17:I17,0),
RANK(I18,B18:I18,0),
RANK(I19,B19:I19,0),
RANK(I20,B20:I20,0),
RANK(I21,B21:I21,0),
RANK(I22,B22:I22,0),
RANK(I23,B23:I23,0),
RANK(I24,B24:I24,0),
RANK(I25,B25:I25,0),
RANK(I26,B26:I26,0),
RANK(I27,B27:I27,0))</f>
        <v>3.8461538461538463</v>
      </c>
      <c r="N30" s="2" t="s">
        <v>24</v>
      </c>
      <c r="O30">
        <v>0.46153846153846162</v>
      </c>
      <c r="P30">
        <v>0.46153846153846162</v>
      </c>
      <c r="Q30">
        <v>1</v>
      </c>
      <c r="R30">
        <v>0.69230769230769229</v>
      </c>
    </row>
    <row r="31" spans="1:18" x14ac:dyDescent="0.15">
      <c r="N31" s="2" t="s">
        <v>15</v>
      </c>
      <c r="O31">
        <v>0.61904761904761907</v>
      </c>
      <c r="P31">
        <v>0.42857142857142849</v>
      </c>
      <c r="Q31">
        <v>0.90476190476190477</v>
      </c>
      <c r="R31">
        <v>0.80952380952380953</v>
      </c>
    </row>
    <row r="32" spans="1:18" x14ac:dyDescent="0.15">
      <c r="N32" s="1" t="s">
        <v>29</v>
      </c>
      <c r="O32">
        <v>1</v>
      </c>
      <c r="P32">
        <v>0.83333333333333337</v>
      </c>
      <c r="Q32">
        <v>0.83333333333333337</v>
      </c>
      <c r="R32">
        <v>0.83333333333333337</v>
      </c>
    </row>
    <row r="33" spans="14:18" x14ac:dyDescent="0.15">
      <c r="N33" s="1" t="s">
        <v>28</v>
      </c>
      <c r="O33">
        <v>0.5</v>
      </c>
      <c r="P33">
        <v>0.375</v>
      </c>
      <c r="Q33">
        <v>1</v>
      </c>
      <c r="R33">
        <v>0.875</v>
      </c>
    </row>
    <row r="34" spans="14:18" x14ac:dyDescent="0.15">
      <c r="N34" s="1" t="s">
        <v>27</v>
      </c>
      <c r="O34">
        <v>0.56000000000000005</v>
      </c>
      <c r="P34">
        <v>0.52</v>
      </c>
      <c r="Q34">
        <v>0.58499999999999996</v>
      </c>
      <c r="R34">
        <v>0.56000000000000005</v>
      </c>
    </row>
    <row r="35" spans="14:18" x14ac:dyDescent="0.15">
      <c r="N35" s="1" t="s">
        <v>30</v>
      </c>
      <c r="O35">
        <v>0.66956521739130437</v>
      </c>
      <c r="P35">
        <v>0.35652173913043478</v>
      </c>
      <c r="Q35">
        <v>0.67173913043478262</v>
      </c>
      <c r="R35">
        <v>0.67173913043478262</v>
      </c>
    </row>
    <row r="36" spans="14:18" x14ac:dyDescent="0.15">
      <c r="N36" s="1" t="s">
        <v>31</v>
      </c>
      <c r="O36">
        <v>0.74294670846394995</v>
      </c>
      <c r="P36">
        <v>0.2507836990595611</v>
      </c>
      <c r="Q36">
        <v>0.7492163009404389</v>
      </c>
      <c r="R36">
        <v>0.71159874608150475</v>
      </c>
    </row>
    <row r="37" spans="14:18" x14ac:dyDescent="0.15">
      <c r="N37" s="1" t="s">
        <v>32</v>
      </c>
      <c r="O37">
        <v>0.75786163522012573</v>
      </c>
      <c r="P37">
        <v>0.68867924528301883</v>
      </c>
      <c r="Q37">
        <v>0.73584905660377353</v>
      </c>
      <c r="R37">
        <v>0.64779874213836475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Fancy Fang</cp:lastModifiedBy>
  <dcterms:created xsi:type="dcterms:W3CDTF">2025-05-11T11:53:22Z</dcterms:created>
  <dcterms:modified xsi:type="dcterms:W3CDTF">2025-06-01T09:01:08Z</dcterms:modified>
</cp:coreProperties>
</file>